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38a160b57a4822" /></Relationships>
</file>

<file path=xl/workbook.xml><?xml version="1.0" encoding="utf-8"?>
<x:workbook xmlns:x="http://schemas.openxmlformats.org/spreadsheetml/2006/main">
  <x:sheets>
    <x:sheet xmlns:r="http://schemas.openxmlformats.org/officeDocument/2006/relationships" name="00_COVER" sheetId="1" r:id="R9b4cd0935cc34897"/>
    <x:sheet xmlns:r="http://schemas.openxmlformats.org/officeDocument/2006/relationships" name="01_INPUTS" sheetId="2" r:id="R4861e59b2fcc4167"/>
    <x:sheet xmlns:r="http://schemas.openxmlformats.org/officeDocument/2006/relationships" name="02_CRITERIA" sheetId="3" r:id="R072d6ba0e9084fc2"/>
    <x:sheet xmlns:r="http://schemas.openxmlformats.org/officeDocument/2006/relationships" name="03_GRAVITY" sheetId="4" r:id="R88632155103f4199"/>
    <x:sheet xmlns:r="http://schemas.openxmlformats.org/officeDocument/2006/relationships" name="04_CALC_INDEX" sheetId="5" r:id="Rf4da4e86f99541bd"/>
    <x:sheet xmlns:r="http://schemas.openxmlformats.org/officeDocument/2006/relationships" name="05_QA_VALIDATION" sheetId="6" r:id="R0229348b47c9458d"/>
    <x:sheet xmlns:r="http://schemas.openxmlformats.org/officeDocument/2006/relationships" name="06_PROJECT_TEAM" sheetId="7" r:id="Rc7cc18637cb14b03"/>
    <x:sheet xmlns:r="http://schemas.openxmlformats.org/officeDocument/2006/relationships" name="07_SOURCES" sheetId="8" r:id="Rfde298e13cf3408d"/>
    <x:sheet xmlns:r="http://schemas.openxmlformats.org/officeDocument/2006/relationships" name="A1_APPENDIX_INDEX" sheetId="9" r:id="R7d53fc6b08144feb"/>
    <x:sheet xmlns:r="http://schemas.openxmlformats.org/officeDocument/2006/relationships" name="A2_DOCUMENT_REGISTER" sheetId="10" r:id="Rcaf11282609846d3"/>
    <x:sheet xmlns:r="http://schemas.openxmlformats.org/officeDocument/2006/relationships" name="A3_CERTIFICATES" sheetId="11" r:id="Rc15aebc35e504352"/>
    <x:sheet xmlns:r="http://schemas.openxmlformats.org/officeDocument/2006/relationships" name="08_INPUT_DICTIONARY" sheetId="12" r:id="Ra1dc8b0738c9425f"/>
    <x:sheet xmlns:r="http://schemas.openxmlformats.org/officeDocument/2006/relationships" name="09_CALC_TRACE" sheetId="13" r:id="R6f21c485b3da4da0"/>
    <x:sheet xmlns:r="http://schemas.openxmlformats.org/officeDocument/2006/relationships" name="10_LONGHAND_GRAVITY" sheetId="14" r:id="R668f0049193d4e2f"/>
    <x:sheet xmlns:r="http://schemas.openxmlformats.org/officeDocument/2006/relationships" name="11_CAD_OUTPUT" sheetId="15" r:id="R18a44adf9d764fc9"/>
    <x:sheet xmlns:r="http://schemas.openxmlformats.org/officeDocument/2006/relationships" name="12_CAD_MAP" sheetId="16" r:id="R97a38220753d4bac"/>
    <x:sheet xmlns:r="http://schemas.openxmlformats.org/officeDocument/2006/relationships" name="13_NOTE_ENGINE" sheetId="17" r:id="R36e9031691d842b7"/>
    <x:sheet xmlns:r="http://schemas.openxmlformats.org/officeDocument/2006/relationships" name="14_LOAD_COMBOS" sheetId="18" r:id="R69cb56abc8774d03"/>
    <x:sheet xmlns:r="http://schemas.openxmlformats.org/officeDocument/2006/relationships" name="15_LONGHAND_COMBOS" sheetId="19" r:id="R1627315b5bfe4fcf"/>
    <x:sheet xmlns:r="http://schemas.openxmlformats.org/officeDocument/2006/relationships" name="16_WIND" sheetId="20" r:id="Recbe4b9c72334a68"/>
    <x:sheet xmlns:r="http://schemas.openxmlformats.org/officeDocument/2006/relationships" name="17_LONGHAND_WIND" sheetId="21" r:id="R65489c2b70544883"/>
    <x:sheet xmlns:r="http://schemas.openxmlformats.org/officeDocument/2006/relationships" name="18_SEISMIC" sheetId="22" r:id="R030e3192dcc8416f"/>
    <x:sheet xmlns:r="http://schemas.openxmlformats.org/officeDocument/2006/relationships" name="19_LONGHAND_SEISMIC" sheetId="23" r:id="R209f84ca1767440d"/>
    <x:sheet xmlns:r="http://schemas.openxmlformats.org/officeDocument/2006/relationships" name="20_WOOD_BEAM" sheetId="24" r:id="Re36dddf074a245f9"/>
    <x:sheet xmlns:r="http://schemas.openxmlformats.org/officeDocument/2006/relationships" name="21_LONGHAND_WOOD" sheetId="25" r:id="Rd6edaaa4f95f4510"/>
    <x:sheet xmlns:r="http://schemas.openxmlformats.org/officeDocument/2006/relationships" name="22_WOOD_COLUMN" sheetId="26" r:id="R8de73ed046774385"/>
    <x:sheet xmlns:r="http://schemas.openxmlformats.org/officeDocument/2006/relationships" name="23_LONGHAND_COLUMN" sheetId="27" r:id="R18d2fede06a64cc6"/>
    <x:sheet xmlns:r="http://schemas.openxmlformats.org/officeDocument/2006/relationships" name="24_SHEAR_WALL" sheetId="28" r:id="Ra359eb9f5b3a4695"/>
    <x:sheet xmlns:r="http://schemas.openxmlformats.org/officeDocument/2006/relationships" name="25_DIAPHRAGM" sheetId="29" r:id="Rc9a5f8c24c324e92"/>
    <x:sheet xmlns:r="http://schemas.openxmlformats.org/officeDocument/2006/relationships" name="26_LONGHAND_SHEAR" sheetId="30" r:id="Raf1f36d0f03a44d3"/>
    <x:sheet xmlns:r="http://schemas.openxmlformats.org/officeDocument/2006/relationships" name="27_LONGHAND_DIAPH" sheetId="31" r:id="Rc83505b84d934d6c"/>
    <x:sheet xmlns:r="http://schemas.openxmlformats.org/officeDocument/2006/relationships" name="28_CONNECTIONS" sheetId="32" r:id="R8d2517cf6c194b8c"/>
    <x:sheet xmlns:r="http://schemas.openxmlformats.org/officeDocument/2006/relationships" name="29_HOLDOWN" sheetId="33" r:id="Rb3016fd8ef524ace"/>
    <x:sheet xmlns:r="http://schemas.openxmlformats.org/officeDocument/2006/relationships" name="30_SILL_ANCHOR" sheetId="34" r:id="R8c8ba9e7f18149ad"/>
    <x:sheet xmlns:r="http://schemas.openxmlformats.org/officeDocument/2006/relationships" name="31_COLLECTOR_CHORD" sheetId="35" r:id="R985d5489c26a4101"/>
    <x:sheet xmlns:r="http://schemas.openxmlformats.org/officeDocument/2006/relationships" name="32_LONGHAND_CONN" sheetId="36" r:id="R39c72362c6e14189"/>
    <x:sheet xmlns:r="http://schemas.openxmlformats.org/officeDocument/2006/relationships" name="33_LONGHAND_HD" sheetId="37" r:id="Rb55d3bed9e234862"/>
    <x:sheet xmlns:r="http://schemas.openxmlformats.org/officeDocument/2006/relationships" name="34_LONGHAND_ANCHOR" sheetId="38" r:id="R7c6b1cf2aad14ffc"/>
    <x:sheet xmlns:r="http://schemas.openxmlformats.org/officeDocument/2006/relationships" name="35_LONGHAND_COLLECTOR" sheetId="39" r:id="R9e7b55cd62e545da"/>
    <x:sheet xmlns:r="http://schemas.openxmlformats.org/officeDocument/2006/relationships" name="00_CAD_CONFIRM" sheetId="40" r:id="R6d78ae43a2ac4504"/>
    <x:sheet xmlns:r="http://schemas.openxmlformats.org/officeDocument/2006/relationships" name="00_OBJECT_MODEL" sheetId="41" r:id="Rfcc126dfdaf94fc3"/>
    <x:sheet xmlns:r="http://schemas.openxmlformats.org/officeDocument/2006/relationships" name="00_CHANGE_IMPACT" sheetId="42" r:id="Reb349cf93977465f"/>
    <x:sheet xmlns:r="http://schemas.openxmlformats.org/officeDocument/2006/relationships" name="36_FOUNDATION" sheetId="43" r:id="R6f2eb3f7539b45bd"/>
    <x:sheet xmlns:r="http://schemas.openxmlformats.org/officeDocument/2006/relationships" name="37_LONGHAND_FOUNDATION" sheetId="44" r:id="Re21236b011824617"/>
    <x:sheet xmlns:r="http://schemas.openxmlformats.org/officeDocument/2006/relationships" name="00_ISSUE_GATE" sheetId="45" r:id="R9d16ac79424e4d41"/>
    <x:sheet xmlns:r="http://schemas.openxmlformats.org/officeDocument/2006/relationships" name="00_README" sheetId="46" r:id="R5322c9bd37a34c54"/>
    <x:sheet xmlns:r="http://schemas.openxmlformats.org/officeDocument/2006/relationships" name="00_ITEM_KEY" sheetId="47" r:id="Rf12d31621ca14cea"/>
    <x:sheet xmlns:r="http://schemas.openxmlformats.org/officeDocument/2006/relationships" name="00_BUILDOUT_EXAMPLE" sheetId="48" r:id="R5606baf669784148"/>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mm/dd/yyyy"/>
    <x:numFmt numFmtId="201" formatCode="0.00"/>
    <x:numFmt numFmtId="202" formatCode="0.000"/>
    <x:numFmt numFmtId="203" formatCode="0.0000"/>
    <x:numFmt numFmtId="204" formatCode="0.###"/>
    <x:numFmt numFmtId="205" formatCode="0.0"/>
    <x:numFmt numFmtId="206" formatCode="0.000000"/>
    <x:numFmt numFmtId="207" formatCode="0.0%"/>
    <x:numFmt numFmtId="208" formatCode="$#,##0.00"/>
    <x:numFmt numFmtId="209" formatCode="yyyy-mm-dd"/>
  </x:numFmts>
  <x:fonts count="26">
    <x:font>
      <x:sz val="11"/>
      <x:name val="Carlito"/>
    </x:font>
    <x:font>
      <x:b/>
      <x:sz val="16"/>
      <x:color rgb="FFFFFFFF"/>
      <x:name val="Carlito"/>
    </x:font>
    <x:font>
      <x:b/>
      <x:sz val="11"/>
      <x:color rgb="FF18324A"/>
      <x:name val="Carlito"/>
    </x:font>
    <x:font>
      <x:b/>
      <x:sz val="11"/>
      <x:color rgb="FFFFFFFF"/>
      <x:name val="Carlito"/>
    </x:font>
    <x:font>
      <x:b/>
      <x:sz val="11"/>
      <x:name val="Carlito"/>
    </x:font>
    <x:font>
      <x:b/>
      <x:sz val="11"/>
      <x:color rgb="FF2E6B3A"/>
      <x:name val="Carlito"/>
    </x:font>
    <x:font>
      <x:b/>
      <x:sz val="11"/>
      <x:color rgb="FF000000"/>
      <x:name val="Carlito"/>
    </x:font>
    <x:font>
      <x:i/>
      <x:sz val="9"/>
      <x:color rgb="FF555555"/>
      <x:name val="Carlito"/>
    </x:font>
    <x:font>
      <x:sz val="11"/>
      <x:color rgb="FF0A4A78"/>
      <x:name val="Carlito"/>
    </x:font>
    <x:font>
      <x:sz val="11"/>
      <x:color rgb="FF1F4E78"/>
      <x:name val="Carlito"/>
    </x:font>
    <x:font>
      <x:b/>
      <x:sz val="11"/>
      <x:color rgb="FF1F1F1F"/>
      <x:name val="Carlito"/>
    </x:font>
    <x:font>
      <x:b/>
      <x:i/>
      <x:sz val="9"/>
      <x:color rgb="FF1F1F1F"/>
      <x:name val="Carlito"/>
    </x:font>
    <x:font>
      <x:i/>
      <x:sz val="11"/>
      <x:color rgb="FF1F1F1F"/>
      <x:name val="Carlito"/>
    </x:font>
    <x:font>
      <x:i/>
      <x:sz val="11"/>
      <x:color rgb="FF7F6000"/>
      <x:name val="Carlito"/>
    </x:font>
    <x:font>
      <x:sz val="11"/>
      <x:color rgb="FF000000"/>
      <x:name val="Carlito"/>
    </x:font>
    <x:font>
      <x:i/>
      <x:sz val="11"/>
      <x:color rgb="FF666666"/>
      <x:name val="Carlito"/>
    </x:font>
    <x:font>
      <x:b/>
      <x:sz val="14"/>
      <x:color rgb="FFFFFFFF"/>
      <x:name val="Carlito"/>
    </x:font>
    <x:font>
      <x:i/>
      <x:sz val="11"/>
      <x:color rgb="FF404040"/>
      <x:name val="Carlito"/>
    </x:font>
    <x:font>
      <x:b/>
      <x:i/>
      <x:sz val="9"/>
      <x:color rgb="FFFFFFFF"/>
      <x:name val="Carlito"/>
    </x:font>
    <x:font>
      <x:sz val="11"/>
      <x:color rgb="FF1F1F1F"/>
      <x:name val="Carlito"/>
    </x:font>
    <x:font>
      <x:b/>
      <x:sz val="11"/>
      <x:color rgb="FF1F2937"/>
      <x:name val="Carlito"/>
    </x:font>
    <x:font>
      <x:i/>
      <x:sz val="11"/>
      <x:color rgb="FF1F2937"/>
      <x:name val="Carlito"/>
    </x:font>
    <x:font>
      <x:i/>
      <x:sz val="11"/>
      <x:name val="Carlito"/>
    </x:font>
    <x:font>
      <x:b/>
      <x:i/>
      <x:sz val="11"/>
      <x:color rgb="FF18324A"/>
      <x:name val="Carlito"/>
    </x:font>
    <x:font>
      <x:b/>
      <x:i/>
      <x:sz val="9"/>
      <x:color rgb="FF000000"/>
      <x:name val="Carlito"/>
    </x:font>
    <x:font>
      <x:b/>
      <x:i/>
      <x:sz val="9"/>
      <x:color rgb="FF555555"/>
      <x:name val="Carlito"/>
    </x:font>
  </x:fonts>
  <x:fills count="60">
    <x:fill>
      <x:patternFill patternType="none"/>
    </x:fill>
    <x:fill>
      <x:patternFill patternType="gray125"/>
    </x:fill>
    <x:fill>
      <x:patternFill patternType="solid">
        <x:fgColor rgb="FF18324A"/>
      </x:patternFill>
    </x:fill>
    <x:fill>
      <x:patternFill patternType="solid">
        <x:fgColor rgb="FFE2F0D9"/>
      </x:patternFill>
    </x:fill>
    <x:fill>
      <x:patternFill patternType="solid">
        <x:fgColor rgb="FFE7E6E6"/>
      </x:patternFill>
    </x:fill>
    <x:fill>
      <x:patternFill patternType="solid">
        <x:fgColor rgb="FFF5F6F7"/>
      </x:patternFill>
    </x:fill>
    <x:fill>
      <x:patternFill patternType="solid">
        <x:fgColor rgb="FFDCEEFF"/>
      </x:patternFill>
    </x:fill>
    <x:fill>
      <x:patternFill patternType="solid">
        <x:fgColor rgb="FFFFF2CC"/>
      </x:patternFill>
    </x:fill>
    <x:fill>
      <x:patternFill patternType="solid">
        <x:fgColor rgb="FFEAF2F8"/>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AF3F8"/>
      </x:patternFill>
    </x:fill>
    <x:fill>
      <x:patternFill patternType="solid">
        <x:fgColor rgb="FF5B9BD5"/>
      </x:patternFill>
    </x:fill>
    <x:fill>
      <x:patternFill patternType="solid">
        <x:fgColor rgb="FFF2F2F2"/>
      </x:patternFill>
    </x:fill>
    <x:fill>
      <x:patternFill patternType="solid">
        <x:fgColor rgb="FFE7E6E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AF3F8"/>
      </x:patternFill>
    </x:fill>
    <x:fill>
      <x:patternFill patternType="solid">
        <x:fgColor rgb="FF5B9BD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EAF3F8"/>
      </x:patternFill>
    </x:fill>
    <x:fill>
      <x:patternFill patternType="solid">
        <x:fgColor rgb="FFE7E6E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E7E6E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EAF3F8"/>
      </x:patternFill>
    </x:fill>
    <x:fill>
      <x:patternFill patternType="solid">
        <x:fgColor rgb="FFE7E6E6"/>
      </x:patternFill>
    </x:fill>
    <x:fill>
      <x:patternFill patternType="solid">
        <x:fgColor rgb="FF17365D"/>
      </x:patternFill>
    </x:fill>
    <x:fill>
      <x:patternFill patternType="solid">
        <x:fgColor rgb="FFD9EAF7"/>
      </x:patternFill>
    </x:fill>
    <x:fill>
      <x:patternFill patternType="solid">
        <x:fgColor rgb="FFEAF3F8"/>
      </x:patternFill>
    </x:fill>
    <x:fill>
      <x:patternFill patternType="solid">
        <x:fgColor rgb="FFE7E6E6"/>
      </x:patternFill>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FF2CC"/>
      </x:patternFill>
    </x:fill>
    <x:fill>
      <x:patternFill patternType="solid">
        <x:fgColor rgb="FFF2F2F2"/>
      </x:patternFill>
    </x:fill>
    <x:fill>
      <x:patternFill patternType="solid">
        <x:fgColor rgb="FF17365D"/>
      </x:patternFill>
    </x:fill>
    <x:fill>
      <x:patternFill patternType="solid">
        <x:fgColor rgb="FFEAF3F8"/>
      </x:patternFill>
    </x:fill>
    <x:fill>
      <x:patternFill patternType="solid">
        <x:fgColor rgb="FFE7E6E6"/>
      </x:patternFill>
    </x:fill>
    <x:fill>
      <x:patternFill patternType="solid">
        <x:fgColor rgb="FFFFF2CC"/>
      </x:patternFill>
    </x:fill>
    <x:fill>
      <x:patternFill patternType="solid">
        <x:fgColor rgb="FFF2F2F2"/>
      </x:patternFill>
    </x:fill>
    <x:fill>
      <x:patternFill patternType="solid">
        <x:fgColor rgb="FFD9EAF7"/>
      </x:patternFill>
    </x:fill>
    <x:fill>
      <x:patternFill patternType="solid">
        <x:fgColor rgb="FFE2F0D9"/>
      </x:patternFill>
    </x:fill>
  </x:fills>
  <x:borders count="15">
    <x:border/>
    <x:border/>
    <x:border>
      <x:left style="thin">
        <x:color rgb="FFB7C9D6"/>
      </x:left>
      <x:right style="thin">
        <x:color rgb="FFB7C9D6"/>
      </x:right>
      <x:top style="thin">
        <x:color rgb="FFB7C9D6"/>
      </x:top>
    </x:border>
    <x:border>
      <x:left style="thin">
        <x:color rgb="FFB7C9D6"/>
      </x:left>
      <x:right style="thin">
        <x:color rgb="FFB7C9D6"/>
      </x:right>
    </x:border>
    <x:border>
      <x:left style="thin">
        <x:color rgb="FFB7C9D6"/>
      </x:left>
      <x:right style="thin">
        <x:color rgb="FFB7C9D6"/>
      </x:right>
      <x:bottom style="thin">
        <x:color rgb="FFB7C9D6"/>
      </x:bottom>
    </x:border>
    <x:border>
      <x:left style="thin">
        <x:color rgb="FFB7C9D6"/>
      </x:left>
      <x:right style="thin">
        <x:color rgb="FFB7C9D6"/>
      </x:right>
      <x:top style="thin">
        <x:color rgb="FFB7C9D6"/>
      </x:top>
      <x:bottom style="thin">
        <x:color rgb="FFB7C9D6"/>
      </x:bottom>
    </x:border>
    <x:border/>
    <x:border/>
    <x:border/>
    <x:border/>
    <x:border/>
    <x:border/>
    <x:border/>
    <x:border/>
    <x:border/>
  </x:borders>
  <x:cellStyleXfs count="1">
    <x:xf numFmtId="0" fontId="0" fillId="0" borderId="0"/>
  </x:cellStyleXfs>
  <x:cellXfs count="6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4" fillId="0" borderId="0" xfId="0" applyNumberFormat="1" applyFont="1" applyFill="1" applyBorder="1"/>
    <x:xf numFmtId="0" fontId="4" fillId="0" borderId="1"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0" fillId="3" borderId="1" xfId="0" applyNumberFormat="1" applyFont="1" applyFill="1" applyBorder="1"/>
    <x:xf numFmtId="0" fontId="5" fillId="3"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8" fillId="6" borderId="0" xfId="0" applyNumberFormat="1" applyFont="1" applyFill="1" applyBorder="1"/>
    <x:xf numFmtId="0" fontId="8" fillId="6" borderId="1" xfId="0" applyNumberFormat="1" applyFont="1" applyFill="1" applyBorder="1"/>
    <x:xf numFmtId="200" fontId="8" fillId="6" borderId="0" xfId="0" applyNumberFormat="1" applyFont="1" applyFill="1" applyBorder="1"/>
    <x:xf numFmtId="200" fontId="8" fillId="6" borderId="1"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0" fillId="8" borderId="1" xfId="0" applyNumberFormat="1" applyFont="1" applyFill="1" applyBorder="1"/>
    <x:xf numFmtId="0" fontId="9" fillId="8" borderId="1" xfId="0" applyNumberFormat="1" applyFont="1" applyFill="1" applyBorder="1"/>
    <x:xf numFmtId="0" fontId="3"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x:xf>
    <x:xf numFmtId="0" fontId="3" fillId="3" borderId="1" xfId="0" applyNumberFormat="1" applyFont="1" applyFill="1" applyBorder="1" applyAlignment="1">
      <x:alignment horizontal="left" vertical="center"/>
    </x:xf>
    <x:xf numFmtId="0" fontId="5" fillId="3" borderId="1" xfId="0" applyNumberFormat="1" applyFont="1" applyFill="1" applyBorder="1" applyAlignment="1">
      <x:alignment horizontal="left" vertical="center"/>
    </x:xf>
    <x:xf numFmtId="0" fontId="8" fillId="3" borderId="0" xfId="0" applyNumberFormat="1" applyFont="1" applyFill="1" applyBorder="1"/>
    <x:xf numFmtId="0" fontId="8" fillId="3" borderId="1" xfId="0" applyNumberFormat="1" applyFont="1" applyFill="1" applyBorder="1"/>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7" fillId="5" borderId="0" xfId="0" applyNumberFormat="1" applyFont="1" applyFill="1" applyBorder="1" applyAlignment="1">
      <x:alignment vertical="center" wrapText="1"/>
    </x:xf>
    <x:xf numFmtId="0" fontId="0" fillId="6" borderId="0" xfId="0" applyNumberFormat="1" applyFont="1" applyFill="1" applyBorder="1" applyAlignment="1">
      <x:alignment vertical="center"/>
    </x:xf>
    <x:xf numFmtId="0" fontId="0" fillId="3" borderId="0" xfId="0" applyNumberFormat="1" applyFont="1" applyFill="1" applyBorder="1" applyAlignment="1">
      <x:alignment vertical="center"/>
    </x:xf>
    <x:xf numFmtId="0" fontId="0" fillId="4" borderId="0" xfId="0" applyNumberFormat="1" applyFont="1" applyFill="1" applyBorder="1" applyAlignment="1">
      <x:alignment vertical="center"/>
    </x:xf>
    <x:xf numFmtId="0" fontId="0" fillId="7"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4" fillId="0" borderId="1" xfId="0" applyNumberFormat="1" applyFont="1" applyFill="1" applyBorder="1" applyAlignment="1">
      <x:alignment vertical="center"/>
    </x:xf>
    <x:xf numFmtId="0" fontId="5" fillId="3" borderId="1" xfId="0" applyNumberFormat="1" applyFont="1" applyFill="1" applyBorder="1" applyAlignment="1">
      <x:alignment vertical="center"/>
    </x:xf>
    <x:xf numFmtId="0" fontId="7" fillId="5" borderId="1" xfId="0" applyNumberFormat="1" applyFont="1" applyFill="1" applyBorder="1" applyAlignment="1">
      <x:alignment vertical="center" wrapText="1"/>
    </x:xf>
    <x:xf numFmtId="0" fontId="0" fillId="6" borderId="1" xfId="0" applyNumberFormat="1" applyFont="1" applyFill="1" applyBorder="1" applyAlignment="1">
      <x:alignment vertical="center"/>
    </x:xf>
    <x:xf numFmtId="0" fontId="0" fillId="3" borderId="1" xfId="0" applyNumberFormat="1" applyFont="1" applyFill="1" applyBorder="1" applyAlignment="1">
      <x:alignment vertical="center"/>
    </x:xf>
    <x:xf numFmtId="0" fontId="0" fillId="4" borderId="1" xfId="0" applyNumberFormat="1" applyFont="1" applyFill="1" applyBorder="1" applyAlignment="1">
      <x:alignment vertical="center"/>
    </x:xf>
    <x:xf numFmtId="0" fontId="0" fillId="7"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0" borderId="0" xfId="0" applyNumberFormat="1" applyFont="1" applyFill="1" applyBorder="1" applyAlignment="1">
      <x:alignment vertical="center" wrapText="1"/>
    </x:xf>
    <x:xf numFmtId="0" fontId="3" fillId="2" borderId="0" xfId="0" applyNumberFormat="1" applyFont="1" applyFill="1" applyBorder="1" applyAlignment="1">
      <x:alignment horizontal="left" vertical="center" wrapText="1"/>
    </x:xf>
    <x:xf numFmtId="0" fontId="4"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4"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1" fillId="2" borderId="1" xfId="0" applyNumberFormat="1" applyFont="1" applyFill="1" applyBorder="1" applyAlignment="1">
      <x:alignment horizontal="left" vertical="center" wrapText="1"/>
    </x:xf>
    <x:xf numFmtId="0" fontId="2" fillId="0" borderId="1" xfId="0" applyNumberFormat="1" applyFont="1" applyFill="1" applyBorder="1" applyAlignment="1">
      <x:alignment vertical="center" wrapText="1"/>
    </x:xf>
    <x:xf numFmtId="0" fontId="3" fillId="2" borderId="1" xfId="0" applyNumberFormat="1" applyFont="1" applyFill="1" applyBorder="1" applyAlignment="1">
      <x:alignment horizontal="left" vertical="center" wrapText="1"/>
    </x:xf>
    <x:xf numFmtId="0" fontId="4" fillId="0" borderId="1"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4" borderId="1"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8" fillId="6" borderId="0" xfId="0" applyNumberFormat="1" applyFont="1" applyFill="1" applyBorder="1" applyAlignment="1">
      <x:alignment vertical="center"/>
    </x:xf>
    <x:xf numFmtId="200" fontId="8" fillId="6" borderId="0" xfId="0" applyNumberFormat="1" applyFont="1" applyFill="1" applyBorder="1" applyAlignment="1">
      <x:alignment vertical="center"/>
    </x:xf>
    <x:xf numFmtId="0" fontId="8" fillId="6" borderId="1" xfId="0" applyNumberFormat="1" applyFont="1" applyFill="1" applyBorder="1" applyAlignment="1">
      <x:alignment vertical="center"/>
    </x:xf>
    <x:xf numFmtId="200" fontId="8" fillId="6" borderId="1" xfId="0" applyNumberFormat="1" applyFont="1" applyFill="1" applyBorder="1" applyAlignment="1">
      <x:alignment vertical="center"/>
    </x:xf>
    <x:xf numFmtId="0" fontId="8" fillId="6" borderId="0" xfId="0" applyNumberFormat="1" applyFont="1" applyFill="1" applyBorder="1" applyAlignment="1">
      <x:alignment vertical="center" wrapText="1"/>
    </x:xf>
    <x:xf numFmtId="200" fontId="8" fillId="6" borderId="0" xfId="0" applyNumberFormat="1" applyFont="1" applyFill="1" applyBorder="1" applyAlignment="1">
      <x:alignment vertical="center" wrapText="1"/>
    </x:xf>
    <x:xf numFmtId="0" fontId="8" fillId="6" borderId="1" xfId="0" applyNumberFormat="1" applyFont="1" applyFill="1" applyBorder="1" applyAlignment="1">
      <x:alignment vertical="center" wrapText="1"/>
    </x:xf>
    <x:xf numFmtId="200" fontId="8" fillId="6" borderId="1" xfId="0" applyNumberFormat="1" applyFont="1" applyFill="1" applyBorder="1" applyAlignment="1">
      <x:alignment vertical="center" wrapText="1"/>
    </x:xf>
    <x:xf numFmtId="0" fontId="4" fillId="7" borderId="0" xfId="0" applyNumberFormat="1" applyFont="1" applyFill="1" applyBorder="1" applyAlignment="1">
      <x:alignment vertical="center"/>
    </x:xf>
    <x:xf numFmtId="0" fontId="4" fillId="7" borderId="1"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1" xfId="0" applyNumberFormat="1" applyFont="1" applyFill="1" applyBorder="1" applyAlignment="1">
      <x:alignment vertical="center" wrapText="1"/>
    </x:xf>
    <x:xf numFmtId="0" fontId="9" fillId="8" borderId="0" xfId="0" applyNumberFormat="1" applyFont="1" applyFill="1" applyBorder="1" applyAlignment="1">
      <x:alignment vertical="center"/>
    </x:xf>
    <x:xf numFmtId="0" fontId="9" fillId="8" borderId="1" xfId="0" applyNumberFormat="1" applyFont="1" applyFill="1" applyBorder="1" applyAlignment="1">
      <x:alignment vertical="center"/>
    </x:xf>
    <x:xf numFmtId="0" fontId="5" fillId="3" borderId="0" xfId="0" applyNumberFormat="1" applyFont="1" applyFill="1" applyBorder="1" applyAlignment="1">
      <x:alignment horizontal="left" vertical="center" wrapText="1"/>
    </x:xf>
    <x:xf numFmtId="0" fontId="9" fillId="8" borderId="0" xfId="0" applyNumberFormat="1" applyFont="1" applyFill="1" applyBorder="1" applyAlignment="1">
      <x:alignment vertical="center" wrapText="1"/>
    </x:xf>
    <x:xf numFmtId="0" fontId="5" fillId="3" borderId="1" xfId="0" applyNumberFormat="1" applyFont="1" applyFill="1" applyBorder="1" applyAlignment="1">
      <x:alignment horizontal="left" vertical="center" wrapText="1"/>
    </x:xf>
    <x:xf numFmtId="0" fontId="9" fillId="8" borderId="1" xfId="0" applyNumberFormat="1" applyFont="1" applyFill="1" applyBorder="1" applyAlignment="1">
      <x:alignment vertical="center" wrapText="1"/>
    </x:xf>
    <x:xf numFmtId="201" fontId="8" fillId="6" borderId="0" xfId="0" applyNumberFormat="1" applyFont="1" applyFill="1" applyBorder="1" applyAlignment="1">
      <x:alignment vertical="center" wrapText="1"/>
    </x:xf>
    <x:xf numFmtId="201" fontId="8" fillId="6"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3" fillId="2" borderId="0" xfId="0" applyNumberFormat="1" applyFont="1" applyFill="1" applyBorder="1" applyAlignment="1">
      <x:alignment horizontal="left" vertical="center" wrapText="1"/>
    </x:xf>
    <x:xf numFmtId="201" fontId="0" fillId="0" borderId="1" xfId="0" applyNumberFormat="1" applyFont="1" applyFill="1" applyBorder="1" applyAlignment="1">
      <x:alignment vertical="center" wrapText="1"/>
    </x:xf>
    <x:xf numFmtId="201" fontId="3" fillId="2" borderId="1" xfId="0" applyNumberFormat="1" applyFont="1" applyFill="1" applyBorder="1" applyAlignment="1">
      <x:alignment horizontal="left" vertical="center" wrapText="1"/>
    </x:xf>
    <x:xf numFmtId="202" fontId="8" fillId="6" borderId="0" xfId="0" applyNumberFormat="1" applyFont="1" applyFill="1" applyBorder="1" applyAlignment="1">
      <x:alignment vertical="center" wrapText="1"/>
    </x:xf>
    <x:xf numFmtId="202" fontId="8" fillId="6" borderId="1" xfId="0" applyNumberFormat="1" applyFont="1" applyFill="1" applyBorder="1" applyAlignment="1">
      <x:alignment vertical="center" wrapText="1"/>
    </x:xf>
    <x:xf numFmtId="202" fontId="5" fillId="3" borderId="0" xfId="0" applyNumberFormat="1" applyFont="1" applyFill="1" applyBorder="1" applyAlignment="1">
      <x:alignment vertical="center" wrapText="1"/>
    </x:xf>
    <x:xf numFmtId="202" fontId="5" fillId="3" borderId="1" xfId="0" applyNumberFormat="1" applyFont="1" applyFill="1" applyBorder="1" applyAlignment="1">
      <x:alignment vertical="center" wrapText="1"/>
    </x:xf>
    <x:xf numFmtId="202" fontId="9" fillId="8" borderId="0" xfId="0" applyNumberFormat="1" applyFont="1" applyFill="1" applyBorder="1" applyAlignment="1">
      <x:alignment vertical="center" wrapText="1"/>
    </x:xf>
    <x:xf numFmtId="202" fontId="9" fillId="8" borderId="1"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0" fontId="0" fillId="0"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10" xfId="0" applyNumberFormat="1" applyFont="1" applyFill="1" applyBorder="0" applyAlignment="1">
      <x:alignment horizontal="center" vertical="center" wrapText="1"/>
    </x:xf>
    <x:xf numFmtId="0" fontId="0" fillId="0" xfId="0" applyNumberFormat="1" applyFont="1" applyFill="1" applyBorder="0" applyAlignment="1">
      <x:alignment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0" xfId="0" applyNumberFormat="1" applyFont="1" applyFill="1" applyBorder="0"/>
    <x:xf numFmtId="0" fontId="10" fillId="11" xfId="0" applyNumberFormat="1" applyFont="1" applyFill="1" applyBorder="0" applyAlignment="1">
      <x:alignment vertical="center"/>
    </x:xf>
    <x:xf numFmtId="0" fontId="0" fillId="12" xfId="0" applyNumberFormat="1" applyFont="1" applyFill="1" applyBorder="0"/>
    <x:xf numFmtId="0" fontId="0" fillId="12" xfId="0" applyNumberFormat="1" applyFont="1" applyFill="1" applyBorder="0" applyAlignment="1">
      <x:alignment wrapText="1"/>
    </x:xf>
    <x:xf numFmtId="0" fontId="10" fillId="11" xfId="0" applyNumberFormat="1" applyFont="1" applyFill="1" applyBorder="0" applyAlignment="1">
      <x:alignment vertical="center" wrapText="1"/>
    </x:xf>
    <x:xf numFmtId="0" fontId="10" fillId="11" borderId="0" xfId="0" applyNumberFormat="1" applyFont="1" applyFill="1" applyBorder="1" applyAlignment="1">
      <x:alignment vertical="center" wrapText="1"/>
    </x:xf>
    <x:xf numFmtId="0" fontId="0" fillId="0" xfId="0" applyNumberFormat="1" applyFont="1" applyFill="1" applyBorder="0" applyAlignment="1">
      <x:alignment vertical="center" wrapText="1"/>
    </x:xf>
    <x:xf numFmtId="0" fontId="7" fillId="11" borderId="0"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3" fillId="10" borderId="0" xfId="0" applyNumberFormat="1" applyFont="1" applyFill="1" applyBorder="1" applyAlignment="1">
      <x:alignment vertical="center" wrapText="1"/>
    </x:xf>
    <x:xf numFmtId="0" fontId="11" fillId="11" xfId="0" applyNumberFormat="1" applyFont="1" applyFill="1" applyBorder="0" applyAlignment="1">
      <x:alignment vertical="center" wrapText="1"/>
    </x:xf>
    <x:xf numFmtId="0" fontId="3" fillId="2" xfId="0" applyNumberFormat="1" applyFont="1" applyFill="1" applyBorder="0" applyAlignment="1">
      <x:alignment horizontal="left" vertical="center" wrapText="1"/>
    </x:xf>
    <x:xf numFmtId="0" fontId="0" fillId="6" xfId="0" applyNumberFormat="1" applyFont="1" applyFill="1" applyBorder="0" applyAlignment="1">
      <x:alignment vertical="center" wrapText="1"/>
    </x:xf>
    <x:xf numFmtId="0" fontId="0" fillId="3" xfId="0" applyNumberFormat="1" applyFont="1" applyFill="1" applyBorder="0" applyAlignment="1">
      <x:alignment vertical="center" wrapText="1"/>
    </x:xf>
    <x:xf numFmtId="0" fontId="0" fillId="4" xfId="0" applyNumberFormat="1" applyFont="1" applyFill="1" applyBorder="0" applyAlignment="1">
      <x:alignment vertical="center" wrapText="1"/>
    </x:xf>
    <x:xf numFmtId="0" fontId="0" fillId="7" xfId="0" applyNumberFormat="1" applyFont="1" applyFill="1" applyBorder="0" applyAlignment="1">
      <x:alignment vertical="center" wrapText="1"/>
    </x:xf>
    <x:xf numFmtId="0" fontId="0" fillId="3" xfId="0" applyNumberFormat="1" applyFont="1" applyFill="1" applyBorder="0"/>
    <x:xf numFmtId="0" fontId="0" fillId="3" xfId="0" applyNumberFormat="1" applyFont="1" applyFill="1" applyBorder="0"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vertical="center"/>
    </x:xf>
    <x:xf numFmtId="0" fontId="0" fillId="14" borderId="0" xfId="0" applyNumberFormat="1" applyFont="1" applyFill="1" applyBorder="1" applyAlignment="1">
      <x:alignment wrapText="1"/>
    </x:xf>
    <x:xf numFmtId="0" fontId="12" fillId="14" borderId="0" xfId="0" applyNumberFormat="1" applyFont="1" applyFill="1" applyBorder="1" applyAlignment="1">
      <x:alignment wrapText="1"/>
    </x:xf>
    <x:xf numFmtId="0" fontId="3" fillId="13" borderId="0" xfId="0" applyNumberFormat="1" applyFont="1" applyFill="1" applyBorder="1"/>
    <x:xf numFmtId="0" fontId="3" fillId="13" borderId="0" xfId="0" applyNumberFormat="1" applyFont="1" applyFill="1" applyBorder="1" applyAlignment="1">
      <x:alignment vertical="center"/>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vertical="center"/>
    </x:xf>
    <x:xf numFmtId="0" fontId="3" fillId="15" borderId="0" xfId="0" applyNumberFormat="1" applyFont="1" applyFill="1" applyBorder="1" applyAlignment="1">
      <x:alignment horizontal="center" vertical="center" wrapText="1"/>
    </x:xf>
    <x:xf numFmtId="204" fontId="0" fillId="0" xfId="0" applyNumberFormat="1" applyFont="1" applyFill="1" applyBorder="0"/>
    <x:xf numFmtId="203" fontId="0" fillId="0" xfId="0" applyNumberFormat="1" applyFont="1" applyFill="1" applyBorder="0"/>
    <x:xf numFmtId="204" fontId="0" fillId="0" xfId="0" applyNumberFormat="1" applyFont="1" applyFill="1" applyBorder="0" applyAlignment="1">
      <x:alignment wrapText="1"/>
    </x:xf>
    <x:xf numFmtId="203" fontId="0" fillId="0" xfId="0" applyNumberFormat="1" applyFont="1" applyFill="1" applyBorder="0" applyAlignment="1">
      <x:alignment wrapText="1"/>
    </x:xf>
    <x:xf numFmtId="0" fontId="0" fillId="13" borderId="0" xfId="0" applyNumberFormat="1" applyFont="1" applyFill="1" applyBorder="1" applyAlignment="1">
      <x:alignment vertical="center" wrapText="1"/>
    </x:xf>
    <x:xf numFmtId="0" fontId="3" fillId="13" borderId="0" xfId="0" applyNumberFormat="1" applyFont="1" applyFill="1" applyBorder="1" applyAlignment="1">
      <x:alignment vertical="center" wrapText="1"/>
    </x:xf>
    <x:xf numFmtId="0" fontId="0" fillId="15" borderId="0" xfId="0" applyNumberFormat="1" applyFont="1" applyFill="1" applyBorder="1" applyAlignment="1">
      <x:alignment vertical="center" wrapText="1"/>
    </x:xf>
    <x:xf numFmtId="0" fontId="3" fillId="15" borderId="0" xfId="0" applyNumberFormat="1" applyFont="1" applyFill="1" applyBorder="1" applyAlignment="1">
      <x:alignment vertical="center" wrapText="1"/>
    </x:xf>
    <x:xf numFmtId="0" fontId="3" fillId="15" xfId="0" applyNumberFormat="1" applyFont="1" applyFill="1" applyBorder="0" applyAlignment="1">
      <x:alignment horizontal="center" vertical="center" wrapText="1"/>
    </x:xf>
    <x:xf numFmtId="203" fontId="0" fillId="0" xfId="0" applyNumberFormat="1" applyFont="1" applyFill="1" applyBorder="0" applyAlignment="1">
      <x:alignment vertical="center" wrapText="1"/>
    </x:xf>
    <x:xf numFmtId="0" fontId="0" fillId="14" xfId="0" applyNumberFormat="1" applyFont="1" applyFill="1" applyBorder="0" applyAlignment="1">
      <x:alignment vertical="center" wrapText="1"/>
    </x:xf>
    <x:xf numFmtId="0" fontId="4" fillId="14" xfId="0" applyNumberFormat="1" applyFont="1" applyFill="1" applyBorder="0" applyAlignment="1">
      <x:alignment vertical="center" wrapText="1"/>
    </x:xf>
    <x:xf numFmtId="0" fontId="0" fillId="16" borderId="0" xfId="0" applyNumberFormat="1" applyFont="1" applyFill="1" applyBorder="1"/>
    <x:xf numFmtId="0" fontId="0" fillId="16" borderId="0" xfId="0" applyNumberFormat="1" applyFont="1" applyFill="1" applyBorder="1" applyAlignment="1">
      <x:alignment wrapText="1"/>
    </x:xf>
    <x:xf numFmtId="0" fontId="13" fillId="16" borderId="0" xfId="0" applyNumberFormat="1" applyFont="1" applyFill="1" applyBorder="1" applyAlignment="1">
      <x:alignment wrapText="1"/>
    </x:xf>
    <x:xf numFmtId="0" fontId="1" fillId="9" borderId="0" xfId="0" applyNumberFormat="1" applyFont="1" applyFill="1" applyBorder="1" applyAlignment="1">
      <x:alignment vertical="center"/>
    </x:xf>
    <x:xf numFmtId="0" fontId="0" fillId="8" borderId="0" xfId="0" applyNumberFormat="1" applyFont="1" applyFill="1" applyBorder="1" applyAlignment="1">
      <x:alignment wrapText="1"/>
    </x:xf>
    <x:xf numFmtId="0" fontId="12" fillId="8" borderId="0" xfId="0" applyNumberFormat="1" applyFont="1" applyFill="1" applyBorder="1" applyAlignment="1">
      <x:alignment wrapText="1"/>
    </x:xf>
    <x:xf numFmtId="0" fontId="3" fillId="9" borderId="0" xfId="0" applyNumberFormat="1" applyFont="1" applyFill="1" applyBorder="1"/>
    <x:xf numFmtId="0" fontId="3" fillId="9" borderId="0" xfId="0" applyNumberFormat="1" applyFont="1" applyFill="1" applyBorder="1" applyAlignment="1">
      <x:alignment vertical="center"/>
    </x:xf>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vertical="center"/>
    </x:xf>
    <x:xf numFmtId="0" fontId="0" fillId="9"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0" fontId="0" fillId="8" xfId="0" applyNumberFormat="1" applyFont="1" applyFill="1" applyBorder="0" applyAlignment="1">
      <x:alignment vertical="center" wrapText="1"/>
    </x:xf>
    <x:xf numFmtId="0" fontId="4" fillId="8" xfId="0" applyNumberFormat="1" applyFont="1" applyFill="1" applyBorder="0" applyAlignment="1">
      <x:alignment vertical="center" wrapText="1"/>
    </x:xf>
    <x:xf numFmtId="0" fontId="0" fillId="7" borderId="0" xfId="0" applyNumberFormat="1" applyFont="1" applyFill="1" applyBorder="1" applyAlignment="1">
      <x:alignment wrapText="1"/>
    </x:xf>
    <x:xf numFmtId="0" fontId="13" fillId="7" borderId="0" xfId="0" applyNumberFormat="1" applyFont="1" applyFill="1" applyBorder="1" applyAlignment="1">
      <x:alignment wrapText="1"/>
    </x:xf>
    <x:xf numFmtId="0" fontId="0" fillId="17" borderId="0" xfId="0" applyNumberFormat="1" applyFont="1" applyFill="1" applyBorder="1" applyAlignment="1">
      <x:alignment vertical="center" wrapText="1"/>
    </x:xf>
    <x:xf numFmtId="0" fontId="3" fillId="17" borderId="0" xfId="0" applyNumberFormat="1" applyFont="1" applyFill="1" applyBorder="1" applyAlignment="1">
      <x:alignment vertical="center" wrapText="1"/>
    </x:xf>
    <x:xf numFmtId="0" fontId="0" fillId="18" borderId="0" xfId="0" applyNumberFormat="1" applyFont="1" applyFill="1" applyBorder="1" applyAlignment="1">
      <x:alignment vertical="center" wrapText="1"/>
    </x:xf>
    <x:xf numFmtId="0" fontId="14" fillId="18"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center" wrapText="1"/>
    </x:xf>
    <x:xf numFmtId="0" fontId="3" fillId="17" xfId="0" applyNumberFormat="1" applyFont="1" applyFill="1" applyBorder="0" applyAlignment="1">
      <x:alignment vertical="center" wrapText="1"/>
    </x:xf>
    <x:xf numFmtId="0" fontId="4" fillId="0" xfId="0" applyNumberFormat="1" applyFont="1" applyFill="1" applyBorder="0" applyAlignment="1">
      <x:alignment vertical="center" wrapText="1"/>
    </x:xf>
    <x:xf numFmtId="0" fontId="14" fillId="18" xfId="0" applyNumberFormat="1" applyFont="1" applyFill="1" applyBorder="0" applyAlignment="1">
      <x:alignment vertical="center" wrapText="1"/>
    </x:xf>
    <x:xf numFmtId="0" fontId="0" fillId="0" xfId="0" applyNumberFormat="1" applyFont="1" applyFill="1" applyBorder="0" applyAlignment="1">
      <x:alignment horizontal="center" vertical="center" wrapText="1"/>
    </x:xf>
    <x:xf numFmtId="0" fontId="15" fillId="0" xfId="0" applyNumberFormat="1" applyFont="1" applyFill="1" applyBorder="0" applyAlignment="1">
      <x:alignment vertical="center" wrapText="1"/>
    </x:xf>
    <x:xf numFmtId="205" fontId="14" fillId="18" xfId="0" applyNumberFormat="1" applyFont="1" applyFill="1" applyBorder="0" applyAlignment="1">
      <x:alignment vertical="center" wrapText="1"/>
    </x:xf>
    <x:xf numFmtId="202" fontId="14" fillId="18" xfId="0" applyNumberFormat="1" applyFont="1" applyFill="1" applyBorder="0" applyAlignment="1">
      <x:alignment vertical="center" wrapText="1"/>
    </x:xf>
    <x:xf numFmtId="200" fontId="14" fillId="18" xfId="0" applyNumberFormat="1" applyFont="1" applyFill="1" applyBorder="0" applyAlignment="1">
      <x:alignment vertical="center" wrapText="1"/>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vertical="center"/>
    </x:xf>
    <x:xf numFmtId="0" fontId="0" fillId="19" borderId="0" xfId="0" applyNumberFormat="1" applyFont="1" applyFill="1" applyBorder="1"/>
    <x:xf numFmtId="0" fontId="17" fillId="19" borderId="0" xfId="0" applyNumberFormat="1" applyFont="1" applyFill="1" applyBorder="1"/>
    <x:xf numFmtId="0" fontId="17" fillId="19" borderId="0" xfId="0" applyNumberFormat="1" applyFont="1" applyFill="1" applyBorder="1" applyAlignment="1">
      <x:alignment wrapText="1"/>
    </x:xf>
    <x:xf numFmtId="0" fontId="3" fillId="17" borderId="0" xfId="0" applyNumberFormat="1" applyFont="1" applyFill="1" applyBorder="1"/>
    <x:xf numFmtId="0" fontId="3" fillId="17" borderId="0" xfId="0" applyNumberFormat="1" applyFont="1" applyFill="1" applyBorder="1" applyAlignment="1">
      <x:alignment vertical="center"/>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3" fillId="20" borderId="0" xfId="0" applyNumberFormat="1" applyFont="1" applyFill="1" applyBorder="1" applyAlignment="1">
      <x:alignment horizontal="center" vertical="center"/>
    </x:xf>
    <x:xf numFmtId="0" fontId="3" fillId="20" borderId="0" xfId="0" applyNumberFormat="1" applyFont="1" applyFill="1" applyBorder="1" applyAlignment="1">
      <x:alignment horizontal="center" vertical="center" wrapText="1"/>
    </x:xf>
    <x:xf numFmtId="0" fontId="0" fillId="21" borderId="0" xfId="0" applyNumberFormat="1" applyFont="1" applyFill="1" applyBorder="1"/>
    <x:xf numFmtId="0" fontId="4" fillId="0" borderId="0" xfId="0" applyNumberFormat="1" applyFont="1" applyFill="1" applyBorder="1" applyAlignment="1">
      <x:alignment wrapText="1"/>
    </x:xf>
    <x:xf numFmtId="0" fontId="0" fillId="21" borderId="0" xfId="0" applyNumberFormat="1" applyFont="1" applyFill="1" applyBorder="1" applyAlignment="1">
      <x:alignment wrapText="1"/>
    </x:xf>
    <x:xf numFmtId="202" fontId="0" fillId="21" borderId="0" xfId="0" applyNumberFormat="1" applyFont="1" applyFill="1" applyBorder="1" applyAlignment="1">
      <x:alignment wrapText="1"/>
    </x:xf>
    <x:xf numFmtId="201" fontId="0" fillId="21" borderId="0" xfId="0" applyNumberFormat="1" applyFont="1" applyFill="1" applyBorder="1" applyAlignment="1">
      <x:alignment wrapText="1"/>
    </x:xf>
    <x:xf numFmtId="205" fontId="0" fillId="21"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x:xf numFmtId="0" fontId="0" fillId="22" borderId="0" xfId="0" applyNumberFormat="1" applyFont="1" applyFill="1" applyBorder="1"/>
    <x:xf numFmtId="0" fontId="0" fillId="22" borderId="0" xfId="0" applyNumberFormat="1" applyFont="1" applyFill="1" applyBorder="1" applyAlignment="1">
      <x:alignment wrapText="1"/>
    </x:xf>
    <x:xf numFmtId="0" fontId="0" fillId="23" borderId="0" xfId="0" applyNumberFormat="1" applyFont="1" applyFill="1" applyBorder="1"/>
    <x:xf numFmtId="0" fontId="0" fillId="23" borderId="0" xfId="0" applyNumberFormat="1" applyFont="1" applyFill="1" applyBorder="1" applyAlignment="1">
      <x:alignment wrapText="1"/>
    </x:xf>
    <x:xf numFmtId="0" fontId="0" fillId="18" borderId="0" xfId="0" applyNumberFormat="1" applyFont="1" applyFill="1" applyBorder="1"/>
    <x:xf numFmtId="0" fontId="14" fillId="18" borderId="0" xfId="0" applyNumberFormat="1" applyFont="1" applyFill="1" applyBorder="1"/>
    <x:xf numFmtId="202" fontId="14" fillId="18" borderId="0" xfId="0" applyNumberFormat="1" applyFont="1" applyFill="1" applyBorder="1"/>
    <x:xf numFmtId="202" fontId="14" fillId="18"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19" borderId="0" xfId="0" applyNumberFormat="1" applyFont="1" applyFill="1" applyBorder="1" applyAlignment="1">
      <x:alignment wrapText="1"/>
    </x:xf>
    <x:xf numFmtId="205" fontId="14" fillId="18" borderId="0" xfId="0" applyNumberFormat="1" applyFont="1" applyFill="1" applyBorder="1"/>
    <x:xf numFmtId="203" fontId="0" fillId="0" borderId="0" xfId="0" applyNumberFormat="1" applyFont="1" applyFill="1" applyBorder="1"/>
    <x:xf numFmtId="0" fontId="16" fillId="17" borderId="0" xfId="0" applyNumberFormat="1" applyFont="1" applyFill="1" applyBorder="1" applyAlignment="1">
      <x:alignment vertical="center" wrapText="1"/>
    </x:xf>
    <x:xf numFmtId="0" fontId="14" fillId="18" borderId="0" xfId="0" applyNumberFormat="1" applyFont="1" applyFill="1" applyBorder="1" applyAlignment="1">
      <x:alignment wrapText="1"/>
    </x:xf>
    <x:xf numFmtId="205" fontId="14" fillId="18" borderId="0" xfId="0" applyNumberFormat="1" applyFont="1" applyFill="1" applyBorder="1" applyAlignment="1">
      <x:alignment wrapText="1"/>
    </x:xf>
    <x:xf numFmtId="203" fontId="0" fillId="0" borderId="0" xfId="0" applyNumberFormat="1" applyFont="1" applyFill="1" applyBorder="1" applyAlignment="1">
      <x:alignment wrapText="1"/>
    </x:xf>
    <x:xf numFmtId="0" fontId="7" fillId="17" borderId="0" xfId="0" applyNumberFormat="1" applyFont="1" applyFill="1" applyBorder="1" applyAlignment="1">
      <x:alignment vertical="center" wrapText="1"/>
    </x:xf>
    <x:xf numFmtId="0" fontId="18" fillId="17" borderId="0" xfId="0" applyNumberFormat="1" applyFont="1" applyFill="1" applyBorder="1" applyAlignment="1">
      <x:alignment vertical="center" wrapText="1"/>
    </x:xf>
    <x:xf numFmtId="0" fontId="0" fillId="11" borderId="0" xfId="0" applyNumberFormat="1" applyFont="1" applyFill="1" applyBorder="1" applyAlignment="1">
      <x:alignment vertical="center" wrapText="1"/>
    </x:xf>
    <x:xf numFmtId="0" fontId="14" fillId="11" borderId="0" xfId="0" applyNumberFormat="1" applyFont="1" applyFill="1" applyBorder="1" applyAlignment="1">
      <x:alignment vertical="center" wrapText="1"/>
    </x:xf>
    <x:xf numFmtId="0" fontId="3" fillId="9" xfId="0" applyNumberFormat="1" applyFont="1" applyFill="1" applyBorder="0" applyAlignment="1">
      <x:alignment vertical="center" wrapText="1"/>
    </x:xf>
    <x:xf numFmtId="0" fontId="14" fillId="11" xfId="0" applyNumberFormat="1" applyFont="1" applyFill="1" applyBorder="0" applyAlignment="1">
      <x:alignment vertical="center" wrapText="1"/>
    </x:xf>
    <x:xf numFmtId="205" fontId="14" fillId="11" xfId="0" applyNumberFormat="1" applyFont="1" applyFill="1" applyBorder="0" applyAlignment="1">
      <x:alignment vertical="center" wrapText="1"/>
    </x:xf>
    <x:xf numFmtId="202" fontId="14" fillId="11" xfId="0" applyNumberFormat="1" applyFont="1" applyFill="1" applyBorder="0" applyAlignment="1">
      <x:alignment vertical="center" wrapText="1"/>
    </x:xf>
    <x:xf numFmtId="200" fontId="14" fillId="11" xfId="0" applyNumberFormat="1" applyFont="1" applyFill="1" applyBorder="0" applyAlignment="1">
      <x:alignment vertical="center" wrapText="1"/>
    </x:xf>
    <x:xf numFmtId="0" fontId="16" fillId="9" borderId="0" xfId="0" applyNumberFormat="1" applyFont="1" applyFill="1" applyBorder="1"/>
    <x:xf numFmtId="0" fontId="16" fillId="9" borderId="0" xfId="0" applyNumberFormat="1" applyFont="1" applyFill="1" applyBorder="1" applyAlignment="1">
      <x:alignment vertical="center"/>
    </x:xf>
    <x:xf numFmtId="0" fontId="0" fillId="4" borderId="0" xfId="0" applyNumberFormat="1" applyFont="1" applyFill="1" applyBorder="1" applyAlignment="1">
      <x:alignment wrapText="1"/>
    </x:xf>
    <x:xf numFmtId="0" fontId="14" fillId="11" borderId="0" xfId="0" applyNumberFormat="1" applyFont="1" applyFill="1" applyBorder="1"/>
    <x:xf numFmtId="202" fontId="14" fillId="11" borderId="0" xfId="0" applyNumberFormat="1" applyFont="1" applyFill="1" applyBorder="1"/>
    <x:xf numFmtId="202" fontId="14" fillId="11" borderId="0" xfId="0" applyNumberFormat="1" applyFont="1" applyFill="1" applyBorder="1" applyAlignment="1">
      <x:alignment wrapText="1"/>
    </x:xf>
    <x:xf numFmtId="205" fontId="14" fillId="11" borderId="0" xfId="0" applyNumberFormat="1" applyFont="1" applyFill="1" applyBorder="1"/>
    <x:xf numFmtId="0" fontId="16" fillId="9" borderId="0" xfId="0" applyNumberFormat="1" applyFont="1" applyFill="1" applyBorder="1" applyAlignment="1">
      <x:alignment vertical="center" wrapText="1"/>
    </x:xf>
    <x:xf numFmtId="0" fontId="14" fillId="11" borderId="0" xfId="0" applyNumberFormat="1" applyFont="1" applyFill="1" applyBorder="1" applyAlignment="1">
      <x:alignment wrapText="1"/>
    </x:xf>
    <x:xf numFmtId="205" fontId="14" fillId="11"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18" fillId="9" borderId="0" xfId="0" applyNumberFormat="1" applyFont="1" applyFill="1" applyBorder="1" applyAlignment="1">
      <x:alignment vertical="center" wrapText="1"/>
    </x:xf>
    <x:xf numFmtId="0" fontId="0" fillId="24" borderId="0" xfId="0" applyNumberFormat="1" applyFont="1" applyFill="1" applyBorder="1" applyAlignment="1">
      <x:alignment vertical="center" wrapText="1"/>
    </x:xf>
    <x:xf numFmtId="0" fontId="3" fillId="24" borderId="0" xfId="0" applyNumberFormat="1" applyFont="1" applyFill="1" applyBorder="1" applyAlignment="1">
      <x:alignment vertical="center" wrapText="1"/>
    </x:xf>
    <x:xf numFmtId="0" fontId="0" fillId="25" borderId="0" xfId="0" applyNumberFormat="1" applyFont="1" applyFill="1" applyBorder="1" applyAlignment="1">
      <x:alignment vertical="center" wrapText="1"/>
    </x:xf>
    <x:xf numFmtId="0" fontId="0" fillId="25" borderId="0" xfId="0" applyNumberFormat="1" applyFont="1" applyFill="1" applyBorder="1"/>
    <x:xf numFmtId="0" fontId="19" fillId="25" borderId="0" xfId="0" applyNumberFormat="1" applyFont="1" applyFill="1" applyBorder="1" applyAlignment="1">
      <x:alignment vertical="center" wrapText="1"/>
    </x:xf>
    <x:xf numFmtId="0" fontId="19" fillId="25" borderId="0" xfId="0" applyNumberFormat="1" applyFont="1" applyFill="1" applyBorder="1"/>
    <x:xf numFmtId="0" fontId="19" fillId="25" borderId="2" xfId="0" applyNumberFormat="1" applyFont="1" applyFill="1" applyBorder="1" applyAlignment="1">
      <x:alignment vertical="center" wrapText="1"/>
    </x:xf>
    <x:xf numFmtId="0" fontId="19" fillId="25" borderId="3" xfId="0" applyNumberFormat="1" applyFont="1" applyFill="1" applyBorder="1" applyAlignment="1">
      <x:alignment vertical="center" wrapText="1"/>
    </x:xf>
    <x:xf numFmtId="0" fontId="19" fillId="25" borderId="3" xfId="0" applyNumberFormat="1" applyFont="1" applyFill="1" applyBorder="1"/>
    <x:xf numFmtId="0" fontId="19" fillId="25" borderId="4" xfId="0" applyNumberFormat="1" applyFont="1" applyFill="1" applyBorder="1"/>
    <x:xf numFmtId="0" fontId="19" fillId="25" borderId="3" xfId="0" applyNumberFormat="1" applyFont="1" applyFill="1" applyBorder="1" applyAlignment="1">
      <x:alignment wrapText="1"/>
    </x:xf>
    <x:xf numFmtId="0" fontId="19" fillId="25" borderId="4" xfId="0" applyNumberFormat="1" applyFont="1" applyFill="1" applyBorder="1" applyAlignment="1">
      <x:alignment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19" fillId="25" borderId="2" xfId="0" applyNumberFormat="1" applyFont="1" applyFill="1" applyBorder="1"/>
    <x:xf numFmtId="0" fontId="19" fillId="25" borderId="2" xfId="0" applyNumberFormat="1" applyFont="1" applyFill="1" applyBorder="1" applyAlignment="1">
      <x:alignment wrapText="1"/>
    </x:xf>
    <x:xf numFmtId="0" fontId="0" fillId="26" borderId="0" xfId="0" applyNumberFormat="1" applyFont="1" applyFill="1" applyBorder="1"/>
    <x:xf numFmtId="0" fontId="17" fillId="26" borderId="0" xfId="0" applyNumberFormat="1" applyFont="1" applyFill="1" applyBorder="1"/>
    <x:xf numFmtId="0" fontId="17" fillId="26" borderId="0" xfId="0" applyNumberFormat="1" applyFont="1" applyFill="1" applyBorder="1" applyAlignment="1">
      <x:alignment wrapText="1"/>
    </x:xf>
    <x:xf numFmtId="0" fontId="17" fillId="26" borderId="0" xfId="0" applyNumberFormat="1" applyFont="1" applyFill="1" applyBorder="1" applyAlignment="1">
      <x:alignment vertical="top"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3" fillId="27" borderId="0" xfId="0" applyNumberFormat="1" applyFont="1" applyFill="1" applyBorder="1" applyAlignment="1">
      <x:alignment horizontal="center" wrapText="1"/>
    </x:xf>
    <x:xf numFmtId="0" fontId="3" fillId="27" borderId="0" xfId="0" applyNumberFormat="1" applyFont="1" applyFill="1" applyBorder="1" applyAlignment="1">
      <x:alignment horizontal="center" vertical="center" wrapText="1"/>
    </x:xf>
    <x:xf numFmtId="0" fontId="0" fillId="28" borderId="0" xfId="0" applyNumberFormat="1" applyFont="1" applyFill="1" applyBorder="1" applyAlignment="1">
      <x:alignment wrapText="1"/>
    </x:xf>
    <x:xf numFmtId="0" fontId="3" fillId="25" borderId="0" xfId="0" applyNumberFormat="1" applyFont="1" applyFill="1" applyBorder="1" applyAlignment="1">
      <x:alignment horizontal="center" vertical="center" wrapText="1"/>
    </x:xf>
    <x:xf numFmtId="0" fontId="10" fillId="25" borderId="0" xfId="0" applyNumberFormat="1" applyFont="1" applyFill="1" applyBorder="1" applyAlignment="1">
      <x:alignment horizontal="center" vertical="center" wrapText="1"/>
    </x:xf>
    <x:xf numFmtId="0" fontId="10" fillId="25" borderId="5" xfId="0" applyNumberFormat="1" applyFont="1" applyFill="1" applyBorder="1" applyAlignment="1">
      <x:alignment horizontal="center" vertical="center" wrapText="1"/>
    </x:xf>
    <x:xf numFmtId="0" fontId="0" fillId="27" borderId="0" xfId="0" applyNumberFormat="1" applyFont="1" applyFill="1" applyBorder="1" applyAlignment="1">
      <x:alignment vertical="center" wrapText="1"/>
    </x:xf>
    <x:xf numFmtId="0" fontId="3" fillId="27" borderId="0" xfId="0" applyNumberFormat="1" applyFont="1" applyFill="1" applyBorder="1" applyAlignment="1">
      <x:alignment vertical="center" wrapText="1"/>
    </x:xf>
    <x:xf numFmtId="0" fontId="19" fillId="11" borderId="0" xfId="0" applyNumberFormat="1" applyFont="1" applyFill="1" applyBorder="1" applyAlignment="1">
      <x:alignment vertical="center" wrapText="1"/>
    </x:xf>
    <x:xf numFmtId="0" fontId="19" fillId="11" borderId="0" xfId="0" applyNumberFormat="1" applyFont="1" applyFill="1" applyBorder="1"/>
    <x:xf numFmtId="0" fontId="19" fillId="11" borderId="2" xfId="0" applyNumberFormat="1" applyFont="1" applyFill="1" applyBorder="1" applyAlignment="1">
      <x:alignment vertical="center" wrapText="1"/>
    </x:xf>
    <x:xf numFmtId="0" fontId="19" fillId="11" borderId="3" xfId="0" applyNumberFormat="1" applyFont="1" applyFill="1" applyBorder="1" applyAlignment="1">
      <x:alignment vertical="center" wrapText="1"/>
    </x:xf>
    <x:xf numFmtId="0" fontId="19" fillId="11" borderId="3" xfId="0" applyNumberFormat="1" applyFont="1" applyFill="1" applyBorder="1"/>
    <x:xf numFmtId="0" fontId="19" fillId="11" borderId="4" xfId="0" applyNumberFormat="1" applyFont="1" applyFill="1" applyBorder="1"/>
    <x:xf numFmtId="0" fontId="19" fillId="11" borderId="3" xfId="0" applyNumberFormat="1" applyFont="1" applyFill="1" applyBorder="1" applyAlignment="1">
      <x:alignment wrapText="1"/>
    </x:xf>
    <x:xf numFmtId="0" fontId="19" fillId="11" borderId="4" xfId="0" applyNumberFormat="1" applyFont="1" applyFill="1" applyBorder="1" applyAlignment="1">
      <x:alignment wrapText="1"/>
    </x:xf>
    <x:xf numFmtId="0" fontId="3" fillId="9" borderId="0" xfId="0" applyNumberFormat="1" applyFont="1" applyFill="1" applyBorder="1" applyAlignment="1">
      <x:alignment wrapText="1"/>
    </x:xf>
    <x:xf numFmtId="0" fontId="19" fillId="11" borderId="2" xfId="0" applyNumberFormat="1" applyFont="1" applyFill="1" applyBorder="1"/>
    <x:xf numFmtId="0" fontId="19" fillId="11" borderId="2" xfId="0" applyNumberFormat="1" applyFont="1" applyFill="1" applyBorder="1" applyAlignment="1">
      <x:alignment wrapText="1"/>
    </x:xf>
    <x:xf numFmtId="0" fontId="17" fillId="19" borderId="0" xfId="0" applyNumberFormat="1" applyFont="1" applyFill="1" applyBorder="1" applyAlignment="1">
      <x:alignment vertical="top" wrapText="1"/>
    </x:xf>
    <x:xf numFmtId="0" fontId="0" fillId="3" borderId="0" xfId="0" applyNumberFormat="1" applyFont="1" applyFill="1" applyBorder="1" applyAlignment="1">
      <x:alignment wrapText="1"/>
    </x:xf>
    <x:xf numFmtId="0" fontId="3" fillId="11" borderId="0" xfId="0" applyNumberFormat="1" applyFont="1" applyFill="1" applyBorder="1" applyAlignment="1">
      <x:alignment horizontal="center" vertical="center" wrapText="1"/>
    </x:xf>
    <x:xf numFmtId="0" fontId="10" fillId="11" borderId="0" xfId="0" applyNumberFormat="1" applyFont="1" applyFill="1" applyBorder="1" applyAlignment="1">
      <x:alignment horizontal="center" vertical="center" wrapText="1"/>
    </x:xf>
    <x:xf numFmtId="0" fontId="10" fillId="11" borderId="5" xfId="0" applyNumberFormat="1" applyFont="1" applyFill="1" applyBorder="1" applyAlignment="1">
      <x:alignment horizontal="center" vertical="center"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vertical="center"/>
    </x:xf>
    <x:xf numFmtId="0" fontId="20" fillId="0" borderId="0" xfId="0" applyNumberFormat="1" applyFont="1" applyFill="1" applyBorder="1" applyAlignment="1">
      <x:alignment wrapText="1"/>
    </x:xf>
    <x:xf numFmtId="0" fontId="0" fillId="30" borderId="0" xfId="0" applyNumberFormat="1" applyFont="1" applyFill="1" applyBorder="1" applyAlignment="1">
      <x:alignment wrapText="1"/>
    </x:xf>
    <x:xf numFmtId="0" fontId="3" fillId="29" borderId="6" xfId="0" applyNumberFormat="1" applyFont="1" applyFill="1" applyBorder="1" applyAlignment="1">
      <x:alignment vertical="center"/>
    </x:xf>
    <x:xf numFmtId="0" fontId="3" fillId="29" borderId="7" xfId="0" applyNumberFormat="1" applyFont="1" applyFill="1" applyBorder="1" applyAlignment="1">
      <x:alignment vertical="center"/>
    </x:xf>
    <x:xf numFmtId="0" fontId="3" fillId="29" borderId="8" xfId="0" applyNumberFormat="1" applyFont="1" applyFill="1" applyBorder="1" applyAlignment="1">
      <x:alignment vertical="center"/>
    </x:xf>
    <x:xf numFmtId="0" fontId="20" fillId="0" borderId="9" xfId="0" applyNumberFormat="1" applyFont="1" applyFill="1" applyBorder="1" applyAlignment="1">
      <x:alignment wrapText="1"/>
    </x:xf>
    <x:xf numFmtId="0" fontId="0" fillId="30" borderId="1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20" fillId="0" borderId="12" xfId="0" applyNumberFormat="1" applyFont="1" applyFill="1" applyBorder="1" applyAlignment="1">
      <x:alignment wrapText="1"/>
    </x:xf>
    <x:xf numFmtId="0" fontId="0" fillId="30" borderId="13"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16" fillId="29" borderId="0" xfId="0" applyNumberFormat="1" applyFont="1" applyFill="1" applyBorder="1"/>
    <x:xf numFmtId="0" fontId="16" fillId="29" borderId="0" xfId="0" applyNumberFormat="1" applyFont="1" applyFill="1" applyBorder="1" applyAlignment="1">
      <x:alignment horizontal="left"/>
    </x:xf>
    <x:xf numFmtId="0" fontId="16" fillId="29" borderId="0" xfId="0" applyNumberFormat="1" applyFont="1" applyFill="1" applyBorder="1" applyAlignment="1">
      <x:alignment horizontal="left" vertical="center"/>
    </x:xf>
    <x:xf numFmtId="0" fontId="0" fillId="31" borderId="0" xfId="0" applyNumberFormat="1" applyFont="1" applyFill="1" applyBorder="1"/>
    <x:xf numFmtId="0" fontId="21" fillId="31" borderId="0" xfId="0" applyNumberFormat="1" applyFont="1" applyFill="1" applyBorder="1"/>
    <x:xf numFmtId="0" fontId="21" fillId="31" borderId="0" xfId="0" applyNumberFormat="1" applyFont="1" applyFill="1" applyBorder="1" applyAlignment="1">
      <x:alignment wrapText="1"/>
    </x:xf>
    <x:xf numFmtId="0" fontId="0" fillId="32" borderId="0" xfId="0" applyNumberFormat="1" applyFont="1" applyFill="1" applyBorder="1"/>
    <x:xf numFmtId="0" fontId="4" fillId="32" borderId="0" xfId="0" applyNumberFormat="1" applyFont="1" applyFill="1" applyBorder="1"/>
    <x:xf numFmtId="205" fontId="0" fillId="0" borderId="0" xfId="0" applyNumberFormat="1" applyFont="1" applyFill="1" applyBorder="1"/>
    <x:xf numFmtId="206" fontId="0" fillId="0" borderId="0" xfId="0" applyNumberFormat="1" applyFont="1" applyFill="1" applyBorder="1"/>
    <x:xf numFmtId="0" fontId="16" fillId="29" borderId="0" xfId="0" applyNumberFormat="1" applyFont="1" applyFill="1" applyBorder="1" applyAlignment="1">
      <x:alignment horizontal="left" vertical="center" wrapText="1"/>
    </x:xf>
    <x:xf numFmtId="0" fontId="3" fillId="29" borderId="0" xfId="0" applyNumberFormat="1" applyFont="1" applyFill="1" applyBorder="1" applyAlignment="1">
      <x:alignment wrapText="1"/>
    </x:xf>
    <x:xf numFmtId="0" fontId="4" fillId="32" borderId="0" xfId="0" applyNumberFormat="1" applyFont="1" applyFill="1" applyBorder="1" applyAlignment="1">
      <x:alignment wrapText="1"/>
    </x:xf>
    <x:xf numFmtId="206"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0" fontId="22" fillId="31" borderId="0" xfId="0" applyNumberFormat="1" applyFont="1" applyFill="1" applyBorder="1"/>
    <x:xf numFmtId="0" fontId="22" fillId="31" borderId="0" xfId="0" applyNumberFormat="1" applyFont="1" applyFill="1" applyBorder="1" applyAlignment="1">
      <x:alignment wrapText="1"/>
    </x:xf>
    <x:xf numFmtId="0" fontId="16" fillId="29" borderId="0" xfId="0" applyNumberFormat="1" applyFont="1" applyFill="1" applyBorder="1" applyAlignment="1">
      <x:alignment wrapText="1"/>
    </x:xf>
    <x:xf numFmtId="0" fontId="0" fillId="33" borderId="0" xfId="0" applyNumberFormat="1" applyFont="1" applyFill="1" applyBorder="1" applyAlignment="1">
      <x:alignment wrapText="1"/>
    </x:xf>
    <x:xf numFmtId="0" fontId="22" fillId="33" borderId="0" xfId="0" applyNumberFormat="1" applyFont="1" applyFill="1" applyBorder="1" applyAlignment="1">
      <x:alignment wrapText="1"/>
    </x:xf>
    <x:xf numFmtId="0" fontId="0" fillId="33" borderId="0" xfId="0" applyNumberFormat="1" applyFont="1" applyFill="1" applyBorder="1"/>
    <x:xf numFmtId="0" fontId="22" fillId="33" borderId="0" xfId="0" applyNumberFormat="1" applyFont="1" applyFill="1" applyBorder="1"/>
    <x:xf numFmtId="0" fontId="0" fillId="11" borderId="0" xfId="0" applyNumberFormat="1" applyFont="1" applyFill="1" applyBorder="1" applyAlignment="1">
      <x:alignment wrapText="1"/>
    </x:xf>
    <x:xf numFmtId="0" fontId="21" fillId="19" borderId="0" xfId="0" applyNumberFormat="1" applyFont="1" applyFill="1" applyBorder="1"/>
    <x:xf numFmtId="0" fontId="21" fillId="19" borderId="0" xfId="0" applyNumberFormat="1" applyFont="1" applyFill="1" applyBorder="1" applyAlignment="1">
      <x:alignment wrapText="1"/>
    </x:xf>
    <x:xf numFmtId="0" fontId="4" fillId="4" borderId="0" xfId="0" applyNumberFormat="1" applyFont="1" applyFill="1" applyBorder="1"/>
    <x:xf numFmtId="0" fontId="4" fillId="4" borderId="0" xfId="0" applyNumberFormat="1" applyFont="1" applyFill="1" applyBorder="1" applyAlignment="1">
      <x:alignment wrapText="1"/>
    </x:xf>
    <x:xf numFmtId="0" fontId="22" fillId="19" borderId="0" xfId="0" applyNumberFormat="1" applyFont="1" applyFill="1" applyBorder="1"/>
    <x:xf numFmtId="0" fontId="22" fillId="19" borderId="0" xfId="0" applyNumberFormat="1" applyFont="1" applyFill="1" applyBorder="1" applyAlignment="1">
      <x:alignment wrapText="1"/>
    </x:xf>
    <x:xf numFmtId="0" fontId="22" fillId="7" borderId="0" xfId="0" applyNumberFormat="1" applyFont="1" applyFill="1" applyBorder="1" applyAlignment="1">
      <x:alignment wrapText="1"/>
    </x:xf>
    <x:xf numFmtId="0" fontId="22" fillId="7" borderId="0" xfId="0" applyNumberFormat="1" applyFont="1" applyFill="1" applyBorder="1"/>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0"/>
    </x:xf>
    <x:xf numFmtId="0" fontId="20" fillId="0" borderId="0" xfId="0" applyNumberFormat="1" applyFont="1" applyFill="1" applyBorder="1"/>
    <x:xf numFmtId="0" fontId="0" fillId="35" borderId="0" xfId="0" applyNumberFormat="1" applyFont="1" applyFill="1" applyBorder="1"/>
    <x:xf numFmtId="0" fontId="0" fillId="35" borderId="0" xfId="0" applyNumberFormat="1" applyFont="1" applyFill="1" applyBorder="1" applyAlignment="1">
      <x:alignment wrapText="1"/>
    </x:xf>
    <x:xf numFmtId="0" fontId="3" fillId="34" borderId="0" xfId="0" applyNumberFormat="1" applyFont="1" applyFill="1" applyBorder="1" applyAlignment="1">
      <x:alignment wrapText="1"/>
    </x:xf>
    <x:xf numFmtId="0" fontId="22" fillId="0" borderId="0" xfId="0" applyNumberFormat="1" applyFont="1" applyFill="1" applyBorder="1"/>
    <x:xf numFmtId="0" fontId="22" fillId="0" borderId="0" xfId="0" applyNumberFormat="1" applyFont="1" applyFill="1" applyBorder="1" applyAlignment="1">
      <x:alignment wrapText="1"/>
    </x:xf>
    <x:xf numFmtId="0" fontId="0"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wrapText="1"/>
    </x:xf>
    <x:xf numFmtId="0" fontId="0" fillId="37" borderId="0" xfId="0" applyNumberFormat="1" applyFont="1" applyFill="1" applyBorder="1"/>
    <x:xf numFmtId="0" fontId="22" fillId="37" borderId="0" xfId="0" applyNumberFormat="1" applyFont="1" applyFill="1" applyBorder="1"/>
    <x:xf numFmtId="0" fontId="22" fillId="37" borderId="0" xfId="0" applyNumberFormat="1" applyFont="1" applyFill="1" applyBorder="1" applyAlignment="1">
      <x:alignment wrapText="1"/>
    </x:xf>
    <x:xf numFmtId="0" fontId="3" fillId="29" borderId="0" xfId="0" applyNumberFormat="1" applyFont="1" applyFill="1" applyBorder="1" applyAlignment="1">
      <x:alignment wrapText="0"/>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vertical="center"/>
    </x:xf>
    <x:xf numFmtId="0" fontId="0" fillId="39" borderId="0" xfId="0" applyNumberFormat="1" applyFont="1" applyFill="1" applyBorder="1"/>
    <x:xf numFmtId="0" fontId="0" fillId="39" xfId="0" applyNumberFormat="1" applyFont="1" applyFill="1" applyBorder="0"/>
    <x:xf numFmtId="0" fontId="3" fillId="38" borderId="0" xfId="0" applyNumberFormat="1" applyFont="1" applyFill="1" applyBorder="1" applyAlignment="1">
      <x:alignment vertical="center" wrapText="1"/>
    </x:xf>
    <x:xf numFmtId="0" fontId="0" fillId="39" xfId="0" applyNumberFormat="1" applyFont="1" applyFill="1" applyBorder="0" applyAlignment="1">
      <x:alignment wrapText="1"/>
    </x:xf>
    <x:xf numFmtId="0" fontId="16" fillId="38" borderId="0" xfId="0" applyNumberFormat="1" applyFont="1" applyFill="1" applyBorder="1"/>
    <x:xf numFmtId="0" fontId="16" fillId="38" borderId="0" xfId="0" applyNumberFormat="1" applyFont="1" applyFill="1" applyBorder="1" applyAlignment="1">
      <x:alignment wrapText="1"/>
    </x:xf>
    <x:xf numFmtId="0" fontId="16" fillId="38" borderId="0" xfId="0" applyNumberFormat="1" applyFont="1" applyFill="1" applyBorder="1" applyAlignment="1">
      <x:alignment vertical="center" wrapText="1"/>
    </x:xf>
    <x:xf numFmtId="0" fontId="0" fillId="40" borderId="0" xfId="0" applyNumberFormat="1" applyFont="1" applyFill="1" applyBorder="1"/>
    <x:xf numFmtId="0" fontId="22" fillId="40" borderId="0" xfId="0" applyNumberFormat="1" applyFont="1" applyFill="1" applyBorder="1"/>
    <x:xf numFmtId="0" fontId="22" fillId="40" borderId="0" xfId="0" applyNumberFormat="1" applyFont="1" applyFill="1" applyBorder="1" applyAlignment="1">
      <x:alignment wrapText="1"/>
    </x:xf>
    <x:xf numFmtId="0" fontId="0" fillId="41" borderId="0" xfId="0" applyNumberFormat="1" applyFont="1" applyFill="1" applyBorder="1"/>
    <x:xf numFmtId="0" fontId="6" fillId="41" borderId="0" xfId="0" applyNumberFormat="1" applyFont="1" applyFill="1" applyBorder="1"/>
    <x:xf numFmtId="0" fontId="6" fillId="41" xfId="0" applyNumberFormat="1" applyFont="1" applyFill="1" applyBorder="0"/>
    <x:xf numFmtId="0" fontId="6" fillId="41" xfId="0" applyNumberFormat="1" applyFont="1" applyFill="1" applyBorder="0" applyAlignment="1">
      <x:alignment wrapText="1"/>
    </x:xf>
    <x:xf numFmtId="0" fontId="6" fillId="41" xfId="0" applyNumberFormat="1" applyFont="1" applyFill="1" applyBorder="0" applyAlignment="1">
      <x:alignment horizontal="center" wrapText="1"/>
    </x:xf>
    <x:xf numFmtId="0" fontId="6" fillId="41" xfId="0" applyNumberFormat="1" applyFont="1" applyFill="1" applyBorder="0" applyAlignment="1">
      <x:alignment horizontal="center" vertical="center" wrapText="1"/>
    </x:xf>
    <x:xf numFmtId="0" fontId="0" fillId="0" xfId="0" applyNumberFormat="1" applyFont="1" applyFill="1" applyBorder="0" applyAlignment="1">
      <x:alignment vertical="center"/>
    </x:xf>
    <x:xf numFmtId="0" fontId="0" fillId="40" borderId="0" xfId="0" applyNumberFormat="1" applyFont="1" applyFill="1" applyBorder="1" applyAlignment="1">
      <x:alignment wrapText="1"/>
    </x:xf>
    <x:xf numFmtId="0" fontId="0" fillId="38" borderId="0" xfId="0" applyNumberFormat="1" applyFont="1" applyFill="1" applyBorder="1" applyAlignment="1">
      <x:alignment wrapText="1"/>
    </x:xf>
    <x:xf numFmtId="0" fontId="3" fillId="38" borderId="0" xfId="0" applyNumberFormat="1" applyFont="1" applyFill="1" applyBorder="1" applyAlignment="1">
      <x:alignment wrapText="1"/>
    </x:xf>
    <x:xf numFmtId="0" fontId="3" fillId="39" borderId="0" xfId="0" applyNumberFormat="1" applyFont="1" applyFill="1" applyBorder="1" applyAlignment="1">
      <x:alignment vertical="center" wrapText="1"/>
    </x:xf>
    <x:xf numFmtId="0" fontId="3" fillId="39" xfId="0" applyNumberFormat="1" applyFont="1" applyFill="1" applyBorder="0" applyAlignment="1">
      <x:alignment vertical="center" wrapText="1"/>
    </x:xf>
    <x:xf numFmtId="0" fontId="5" fillId="3" xfId="0" applyNumberFormat="1" applyFont="1" applyFill="1" applyBorder="0" applyAlignment="1">
      <x:alignment vertical="center" wrapText="1"/>
    </x:xf>
    <x:xf numFmtId="202" fontId="0" fillId="0" xfId="0" applyNumberFormat="1" applyFont="1" applyFill="1" applyBorder="0" applyAlignment="1">
      <x:alignment vertical="center" wrapText="1"/>
    </x:xf>
    <x:xf numFmtId="202" fontId="3" fillId="38" borderId="0" xfId="0" applyNumberFormat="1" applyFont="1" applyFill="1" applyBorder="1" applyAlignment="1">
      <x:alignment vertical="center" wrapText="1"/>
    </x:xf>
    <x:xf numFmtId="202" fontId="6" fillId="41" xfId="0" applyNumberFormat="1" applyFont="1" applyFill="1" applyBorder="0" applyAlignment="1">
      <x:alignment horizontal="center" vertical="center" wrapText="1"/>
    </x:xf>
    <x:xf numFmtId="202" fontId="0" fillId="0" xfId="0" applyNumberFormat="1" applyFont="1" applyFill="1" applyBorder="0" applyAlignment="1">
      <x:alignment vertical="center"/>
    </x:xf>
    <x:xf numFmtId="0" fontId="0" fillId="11" xfId="0" applyNumberFormat="1" applyFont="1" applyFill="1" applyBorder="0"/>
    <x:xf numFmtId="0" fontId="3" fillId="29" borderId="0" xfId="0" applyNumberFormat="1" applyFont="1" applyFill="1" applyBorder="1" applyAlignment="1">
      <x:alignment vertical="center" wrapText="1"/>
    </x:xf>
    <x:xf numFmtId="0" fontId="0" fillId="11" xfId="0" applyNumberFormat="1" applyFont="1" applyFill="1" applyBorder="0" applyAlignment="1">
      <x:alignment wrapText="1"/>
    </x:xf>
    <x:xf numFmtId="0" fontId="16" fillId="29" borderId="0" xfId="0" applyNumberFormat="1" applyFont="1" applyFill="1" applyBorder="1" applyAlignment="1">
      <x:alignment vertical="center" wrapText="1"/>
    </x:xf>
    <x:xf numFmtId="0" fontId="6" fillId="4" xfId="0" applyNumberFormat="1" applyFont="1" applyFill="1" applyBorder="0"/>
    <x:xf numFmtId="0" fontId="6" fillId="4" xfId="0" applyNumberFormat="1" applyFont="1" applyFill="1" applyBorder="0" applyAlignment="1">
      <x:alignment wrapText="1"/>
    </x:xf>
    <x:xf numFmtId="0" fontId="6" fillId="4" xfId="0" applyNumberFormat="1" applyFont="1" applyFill="1" applyBorder="0" applyAlignment="1">
      <x:alignment horizontal="center" wrapText="1"/>
    </x:xf>
    <x:xf numFmtId="0" fontId="6" fillId="4" xfId="0" applyNumberFormat="1" applyFont="1" applyFill="1" applyBorder="0" applyAlignment="1">
      <x:alignment horizontal="center" vertical="center" wrapText="1"/>
    </x:xf>
    <x:xf numFmtId="0" fontId="0" fillId="29" borderId="0" xfId="0" applyNumberFormat="1" applyFont="1" applyFill="1" applyBorder="1" applyAlignment="1">
      <x:alignment wrapText="1"/>
    </x:xf>
    <x:xf numFmtId="0" fontId="3" fillId="11" borderId="0" xfId="0" applyNumberFormat="1" applyFont="1" applyFill="1" applyBorder="1" applyAlignment="1">
      <x:alignment vertical="center" wrapText="1"/>
    </x:xf>
    <x:xf numFmtId="0" fontId="3" fillId="11" xfId="0" applyNumberFormat="1" applyFont="1" applyFill="1" applyBorder="0" applyAlignment="1">
      <x:alignment vertical="center" wrapText="1"/>
    </x:xf>
    <x:xf numFmtId="202" fontId="3" fillId="29" borderId="0" xfId="0" applyNumberFormat="1" applyFont="1" applyFill="1" applyBorder="1" applyAlignment="1">
      <x:alignment vertical="center" wrapText="1"/>
    </x:xf>
    <x:xf numFmtId="202" fontId="6" fillId="4" xfId="0" applyNumberFormat="1" applyFont="1" applyFill="1" applyBorder="0" applyAlignment="1">
      <x:alignment horizontal="center" vertical="center"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vertical="center"/>
    </x:xf>
    <x:xf numFmtId="0" fontId="0" fillId="43" borderId="0" xfId="0" applyNumberFormat="1" applyFont="1" applyFill="1" applyBorder="1"/>
    <x:xf numFmtId="0" fontId="0" fillId="43" xfId="0" applyNumberFormat="1" applyFont="1" applyFill="1" applyBorder="0"/>
    <x:xf numFmtId="0" fontId="3" fillId="42" borderId="0" xfId="0" applyNumberFormat="1" applyFont="1" applyFill="1" applyBorder="1" applyAlignment="1">
      <x:alignment vertical="center" wrapText="1"/>
    </x:xf>
    <x:xf numFmtId="0" fontId="0" fillId="43" xfId="0" applyNumberFormat="1" applyFont="1" applyFill="1" applyBorder="0" applyAlignment="1">
      <x:alignment wrapText="1"/>
    </x:xf>
    <x:xf numFmtId="0" fontId="16" fillId="42" borderId="0" xfId="0" applyNumberFormat="1" applyFont="1" applyFill="1" applyBorder="1"/>
    <x:xf numFmtId="0" fontId="16" fillId="42" borderId="0" xfId="0" applyNumberFormat="1" applyFont="1" applyFill="1" applyBorder="1" applyAlignment="1">
      <x:alignment wrapText="1"/>
    </x:xf>
    <x:xf numFmtId="0" fontId="16" fillId="42" borderId="0" xfId="0" applyNumberFormat="1" applyFont="1" applyFill="1" applyBorder="1" applyAlignment="1">
      <x:alignment vertical="center" wrapText="1"/>
    </x:xf>
    <x:xf numFmtId="0" fontId="0" fillId="44" borderId="0" xfId="0" applyNumberFormat="1" applyFont="1" applyFill="1" applyBorder="1"/>
    <x:xf numFmtId="0" fontId="22" fillId="44" borderId="0" xfId="0" applyNumberFormat="1" applyFont="1" applyFill="1" applyBorder="1"/>
    <x:xf numFmtId="0" fontId="22" fillId="44" borderId="0" xfId="0" applyNumberFormat="1" applyFont="1" applyFill="1" applyBorder="1" applyAlignment="1">
      <x:alignment wrapText="1"/>
    </x:xf>
    <x:xf numFmtId="0" fontId="0" fillId="45" borderId="0" xfId="0" applyNumberFormat="1" applyFont="1" applyFill="1" applyBorder="1"/>
    <x:xf numFmtId="0" fontId="6" fillId="45" borderId="0" xfId="0" applyNumberFormat="1" applyFont="1" applyFill="1" applyBorder="1"/>
    <x:xf numFmtId="0" fontId="6" fillId="45" xfId="0" applyNumberFormat="1" applyFont="1" applyFill="1" applyBorder="0"/>
    <x:xf numFmtId="0" fontId="6" fillId="45" xfId="0" applyNumberFormat="1" applyFont="1" applyFill="1" applyBorder="0" applyAlignment="1">
      <x:alignment wrapText="1"/>
    </x:xf>
    <x:xf numFmtId="0" fontId="6" fillId="45" xfId="0" applyNumberFormat="1" applyFont="1" applyFill="1" applyBorder="0" applyAlignment="1">
      <x:alignment horizontal="center" wrapText="1"/>
    </x:xf>
    <x:xf numFmtId="0" fontId="6" fillId="45" xfId="0" applyNumberFormat="1" applyFont="1" applyFill="1" applyBorder="0" applyAlignment="1">
      <x:alignment horizontal="center" vertical="center" wrapText="1"/>
    </x:xf>
    <x:xf numFmtId="0" fontId="3" fillId="43" borderId="0" xfId="0" applyNumberFormat="1" applyFont="1" applyFill="1" applyBorder="1" applyAlignment="1">
      <x:alignment vertical="center" wrapText="1"/>
    </x:xf>
    <x:xf numFmtId="0" fontId="3" fillId="43" xfId="0" applyNumberFormat="1" applyFont="1" applyFill="1" applyBorder="0" applyAlignment="1">
      <x:alignment vertical="center" wrapText="1"/>
    </x:xf>
    <x:xf numFmtId="0" fontId="0" fillId="44" borderId="0" xfId="0" applyNumberFormat="1" applyFont="1" applyFill="1" applyBorder="1" applyAlignment="1">
      <x:alignment wrapText="1"/>
    </x:xf>
    <x:xf numFmtId="202" fontId="3" fillId="42" borderId="0" xfId="0" applyNumberFormat="1" applyFont="1" applyFill="1" applyBorder="1" applyAlignment="1">
      <x:alignment vertical="center" wrapText="1"/>
    </x:xf>
    <x:xf numFmtId="202" fontId="6" fillId="45" xfId="0" applyNumberFormat="1" applyFont="1" applyFill="1" applyBorder="0" applyAlignment="1">
      <x:alignment horizontal="center" vertical="center" wrapText="1"/>
    </x:xf>
    <x:xf numFmtId="202" fontId="0" fillId="44" borderId="0" xfId="0" applyNumberFormat="1" applyFont="1" applyFill="1" applyBorder="1" applyAlignment="1">
      <x:alignment wrapText="1"/>
    </x:xf>
    <x:xf numFmtId="202" fontId="0" fillId="19" borderId="0" xfId="0" applyNumberFormat="1" applyFont="1" applyFill="1" applyBorder="1" applyAlignment="1">
      <x:alignment wrapText="1"/>
    </x:xf>
    <x:xf numFmtId="0" fontId="1" fillId="46" borderId="0" xfId="0" applyNumberFormat="1" applyFont="1" applyFill="1" applyBorder="1" applyAlignment="1">
      <x:alignment horizontal="left" vertical="center" wrapText="1"/>
    </x:xf>
    <x:xf numFmtId="0" fontId="16" fillId="46" borderId="0" xfId="0" applyNumberFormat="1" applyFont="1" applyFill="1" applyBorder="1" applyAlignment="1">
      <x:alignment horizontal="left" vertical="center" wrapText="1"/>
    </x:xf>
    <x:xf numFmtId="0" fontId="2" fillId="47" borderId="0" xfId="0" applyNumberFormat="1" applyFont="1" applyFill="1" applyBorder="1" applyAlignment="1">
      <x:alignment vertical="center" wrapText="1"/>
    </x:xf>
    <x:xf numFmtId="0" fontId="23" fillId="47" borderId="0" xfId="0" applyNumberFormat="1" applyFont="1" applyFill="1" applyBorder="1" applyAlignment="1">
      <x:alignment vertical="center" wrapText="1"/>
    </x:xf>
    <x:xf numFmtId="0" fontId="3" fillId="46" borderId="0" xfId="0" applyNumberFormat="1" applyFont="1" applyFill="1" applyBorder="1" applyAlignment="1">
      <x:alignment horizontal="left" vertical="center" wrapText="1"/>
    </x:xf>
    <x:xf numFmtId="0" fontId="5" fillId="48" xfId="0" applyNumberFormat="1" applyFont="1" applyFill="1" applyBorder="0" applyAlignment="1">
      <x:alignment vertical="center" wrapText="1"/>
    </x:xf>
    <x:xf numFmtId="0" fontId="6" fillId="48" xfId="0" applyNumberFormat="1" applyFont="1" applyFill="1" applyBorder="0" applyAlignment="1">
      <x:alignment horizontal="center" vertical="center" wrapText="1"/>
    </x:xf>
    <x:xf numFmtId="0" fontId="0" fillId="48" xfId="0" applyNumberFormat="1" applyFont="1" applyFill="1" applyBorder="0" applyAlignment="1">
      <x:alignment vertical="center" wrapText="1"/>
    </x:xf>
    <x:xf numFmtId="0" fontId="7" fillId="46" borderId="0" xfId="0" applyNumberFormat="1" applyFont="1" applyFill="1" applyBorder="1" applyAlignment="1">
      <x:alignment vertical="center" wrapText="1"/>
    </x:xf>
    <x:xf numFmtId="0" fontId="18" fillId="46" borderId="0" xfId="0" applyNumberFormat="1" applyFont="1" applyFill="1" applyBorder="1" applyAlignment="1">
      <x:alignment vertical="center" wrapText="1"/>
    </x:xf>
    <x:xf numFmtId="0" fontId="11" fillId="49" xfId="0" applyNumberFormat="1" applyFont="1" applyFill="1" applyBorder="0" applyAlignment="1">
      <x:alignment vertical="center" wrapText="1"/>
    </x:xf>
    <x:xf numFmtId="0" fontId="24" fillId="49" xfId="0" applyNumberFormat="1" applyFont="1" applyFill="1" applyBorder="0" applyAlignment="1">
      <x:alignment vertical="center" wrapText="1"/>
    </x:xf>
    <x:xf numFmtId="0" fontId="24" fillId="49" xfId="0" applyNumberFormat="1" applyFont="1" applyFill="1" applyBorder="0" applyAlignment="1">
      <x:alignment horizontal="center" vertical="center" wrapText="1"/>
    </x:xf>
    <x:xf numFmtId="0" fontId="7" fillId="5" xfId="0" applyNumberFormat="1" applyFont="1" applyFill="1" applyBorder="0" applyAlignment="1">
      <x:alignment vertical="center" wrapText="1"/>
    </x:xf>
    <x:xf numFmtId="0" fontId="0" fillId="46" borderId="0" xfId="0" applyNumberFormat="1" applyFont="1" applyFill="1" applyBorder="1" applyAlignment="1">
      <x:alignment vertical="center" wrapText="1"/>
    </x:xf>
    <x:xf numFmtId="0" fontId="3" fillId="46" borderId="0" xfId="0" applyNumberFormat="1" applyFont="1" applyFill="1" applyBorder="1" applyAlignment="1">
      <x:alignment vertical="center" wrapText="1"/>
    </x:xf>
    <x:xf numFmtId="0" fontId="0" fillId="50" borderId="0" xfId="0" applyNumberFormat="1" applyFont="1" applyFill="1" applyBorder="1" applyAlignment="1">
      <x:alignment vertical="center" wrapText="1"/>
    </x:xf>
    <x:xf numFmtId="0" fontId="4" fillId="50" borderId="0" xfId="0" applyNumberFormat="1" applyFont="1" applyFill="1" applyBorder="1" applyAlignment="1">
      <x:alignment vertical="center" wrapText="1"/>
    </x:xf>
    <x:xf numFmtId="0" fontId="4" fillId="50" borderId="0" xfId="0" applyNumberFormat="1" applyFont="1" applyFill="1" applyBorder="1" applyAlignment="1">
      <x:alignment horizontal="center" vertical="center" wrapText="1"/>
    </x:xf>
    <x:xf numFmtId="0" fontId="0" fillId="49" borderId="0" xfId="0" applyNumberFormat="1" applyFont="1" applyFill="1" applyBorder="1" applyAlignment="1">
      <x:alignment vertical="center" wrapText="1"/>
    </x:xf>
    <x:xf numFmtId="0" fontId="6" fillId="49" borderId="0" xfId="0" applyNumberFormat="1" applyFont="1" applyFill="1" applyBorder="1" applyAlignment="1">
      <x:alignment vertical="center" wrapText="1"/>
    </x:xf>
    <x:xf numFmtId="0" fontId="6" fillId="49" xfId="0" applyNumberFormat="1" applyFont="1" applyFill="1" applyBorder="0" applyAlignment="1">
      <x:alignment vertical="center" wrapText="1"/>
    </x:xf>
    <x:xf numFmtId="0" fontId="6" fillId="49" xfId="0" applyNumberFormat="1" applyFont="1" applyFill="1" applyBorder="0" applyAlignment="1">
      <x:alignment horizontal="center" vertical="center" wrapText="1"/>
    </x:xf>
    <x:xf numFmtId="0" fontId="0" fillId="51" borderId="0" xfId="0" applyNumberFormat="1" applyFont="1" applyFill="1" applyBorder="1" applyAlignment="1">
      <x:alignment vertical="center" wrapText="1"/>
    </x:xf>
    <x:xf numFmtId="0" fontId="22" fillId="51" borderId="0" xfId="0" applyNumberFormat="1" applyFont="1" applyFill="1" applyBorder="1" applyAlignment="1">
      <x:alignment vertical="center" wrapText="1"/>
    </x:xf>
    <x:xf numFmtId="0" fontId="7" fillId="51" borderId="0" xfId="0" applyNumberFormat="1" applyFont="1" applyFill="1" applyBorder="1" applyAlignment="1">
      <x:alignment vertical="center" wrapText="1"/>
    </x:xf>
    <x:xf numFmtId="0" fontId="25" fillId="51" borderId="0" xfId="0" applyNumberFormat="1" applyFont="1" applyFill="1" applyBorder="1" applyAlignment="1">
      <x:alignment vertical="center" wrapText="1"/>
    </x:xf>
    <x:xf numFmtId="0" fontId="8" fillId="52" borderId="0" xfId="0" applyNumberFormat="1" applyFont="1" applyFill="1" applyBorder="1" applyAlignment="1">
      <x:alignment vertical="center" wrapText="1"/>
    </x:xf>
    <x:xf numFmtId="200" fontId="8" fillId="52" borderId="0" xfId="0" applyNumberFormat="1" applyFont="1" applyFill="1" applyBorder="1" applyAlignment="1">
      <x:alignment vertical="center" wrapText="1"/>
    </x:xf>
    <x:xf numFmtId="0" fontId="0" fillId="52" borderId="0" xfId="0" applyNumberFormat="1" applyFont="1" applyFill="1" applyBorder="1" applyAlignment="1">
      <x:alignment vertical="center" wrapText="1"/>
    </x:xf>
    <x:xf numFmtId="0" fontId="3" fillId="52" borderId="0" xfId="0" applyNumberFormat="1" applyFont="1" applyFill="1" applyBorder="1" applyAlignment="1">
      <x:alignment horizontal="left" vertical="center" wrapText="1"/>
    </x:xf>
    <x:xf numFmtId="201" fontId="8" fillId="52" borderId="0" xfId="0" applyNumberFormat="1" applyFont="1" applyFill="1" applyBorder="1" applyAlignment="1">
      <x:alignment vertical="center" wrapText="1"/>
    </x:xf>
    <x:xf numFmtId="201" fontId="0" fillId="52" borderId="0" xfId="0" applyNumberFormat="1" applyFont="1" applyFill="1" applyBorder="1" applyAlignment="1">
      <x:alignment vertical="center" wrapText="1"/>
    </x:xf>
    <x:xf numFmtId="201" fontId="3" fillId="52" borderId="0" xfId="0" applyNumberFormat="1" applyFont="1" applyFill="1" applyBorder="1" applyAlignment="1">
      <x:alignment horizontal="left" vertical="center" wrapText="1"/>
    </x:xf>
    <x:xf numFmtId="202" fontId="8" fillId="52" borderId="0" xfId="0" applyNumberFormat="1" applyFont="1" applyFill="1" applyBorder="1" applyAlignment="1">
      <x:alignment vertical="center" wrapText="1"/>
    </x:xf>
    <x:xf numFmtId="0" fontId="3" fillId="52" xfId="0" applyNumberFormat="1" applyFont="1" applyFill="1" applyBorder="0" applyAlignment="1">
      <x:alignment vertical="center" wrapText="1"/>
    </x:xf>
    <x:xf numFmtId="0" fontId="14" fillId="52" xfId="0" applyNumberFormat="1" applyFont="1" applyFill="1" applyBorder="0" applyAlignment="1">
      <x:alignment vertical="center" wrapText="1"/>
    </x:xf>
    <x:xf numFmtId="205" fontId="14" fillId="52" xfId="0" applyNumberFormat="1" applyFont="1" applyFill="1" applyBorder="0" applyAlignment="1">
      <x:alignment vertical="center" wrapText="1"/>
    </x:xf>
    <x:xf numFmtId="202" fontId="14" fillId="52" xfId="0" applyNumberFormat="1" applyFont="1" applyFill="1" applyBorder="0" applyAlignment="1">
      <x:alignment vertical="center" wrapText="1"/>
    </x:xf>
    <x:xf numFmtId="200" fontId="14" fillId="52" xfId="0" applyNumberFormat="1" applyFont="1" applyFill="1" applyBorder="0" applyAlignment="1">
      <x:alignment vertical="center" wrapText="1"/>
    </x:xf>
    <x:xf numFmtId="0" fontId="3" fillId="52" borderId="0" xfId="0" applyNumberFormat="1" applyFont="1" applyFill="1" applyBorder="1" applyAlignment="1">
      <x:alignment vertical="center" wrapText="1"/>
    </x:xf>
    <x:xf numFmtId="0" fontId="19" fillId="52" borderId="2" xfId="0" applyNumberFormat="1" applyFont="1" applyFill="1" applyBorder="1" applyAlignment="1">
      <x:alignment vertical="center" wrapText="1"/>
    </x:xf>
    <x:xf numFmtId="0" fontId="19" fillId="52" borderId="3" xfId="0" applyNumberFormat="1" applyFont="1" applyFill="1" applyBorder="1" applyAlignment="1">
      <x:alignment vertical="center" wrapText="1"/>
    </x:xf>
    <x:xf numFmtId="0" fontId="19" fillId="52" borderId="3" xfId="0" applyNumberFormat="1" applyFont="1" applyFill="1" applyBorder="1" applyAlignment="1">
      <x:alignment wrapText="1"/>
    </x:xf>
    <x:xf numFmtId="0" fontId="19" fillId="52" borderId="4" xfId="0" applyNumberFormat="1" applyFont="1" applyFill="1" applyBorder="1" applyAlignment="1">
      <x:alignment wrapText="1"/>
    </x:xf>
    <x:xf numFmtId="0" fontId="0" fillId="52" borderId="0" xfId="0" applyNumberFormat="1" applyFont="1" applyFill="1" applyBorder="1"/>
    <x:xf numFmtId="0" fontId="3" fillId="52" borderId="0" xfId="0" applyNumberFormat="1" applyFont="1" applyFill="1" applyBorder="1" applyAlignment="1">
      <x:alignment wrapText="1"/>
    </x:xf>
    <x:xf numFmtId="0" fontId="19" fillId="52" borderId="2" xfId="0" applyNumberFormat="1" applyFont="1" applyFill="1" applyBorder="1" applyAlignment="1">
      <x:alignment wrapText="1"/>
    </x:xf>
    <x:xf numFmtId="0" fontId="0" fillId="52" borderId="0" xfId="0" applyNumberFormat="1" applyFont="1" applyFill="1" applyBorder="1" applyAlignment="1">
      <x:alignment wrapText="1"/>
    </x:xf>
    <x:xf numFmtId="0" fontId="3" fillId="52" borderId="0" xfId="0" applyNumberFormat="1" applyFont="1" applyFill="1" applyBorder="1" applyAlignment="1">
      <x:alignment vertical="center"/>
    </x:xf>
    <x:xf numFmtId="0" fontId="0" fillId="52" xfId="0" applyNumberFormat="1" applyFont="1" applyFill="1" applyBorder="0" applyAlignment="1">
      <x:alignment wrapText="1"/>
    </x:xf>
    <x:xf numFmtId="0" fontId="8" fillId="50" borderId="0" xfId="0" applyNumberFormat="1" applyFont="1" applyFill="1" applyBorder="1" applyAlignment="1">
      <x:alignment vertical="center" wrapText="1"/>
    </x:xf>
    <x:xf numFmtId="200" fontId="8" fillId="50" borderId="0" xfId="0" applyNumberFormat="1" applyFont="1" applyFill="1" applyBorder="1" applyAlignment="1">
      <x:alignment vertical="center" wrapText="1"/>
    </x:xf>
    <x:xf numFmtId="0" fontId="0" fillId="46" borderId="0" xfId="0" applyNumberFormat="1" applyFont="1" applyFill="1" applyBorder="1"/>
    <x:xf numFmtId="0" fontId="16" fillId="46" borderId="0" xfId="0" applyNumberFormat="1" applyFont="1" applyFill="1" applyBorder="1"/>
    <x:xf numFmtId="0" fontId="16" fillId="46" borderId="0" xfId="0" applyNumberFormat="1" applyFont="1" applyFill="1" applyBorder="1" applyAlignment="1">
      <x:alignment wrapText="1"/>
    </x:xf>
    <x:xf numFmtId="0" fontId="16" fillId="46" borderId="0" xfId="0" applyNumberFormat="1" applyFont="1" applyFill="1" applyBorder="1" applyAlignment="1">
      <x:alignment vertical="center" wrapText="1"/>
    </x:xf>
    <x:xf numFmtId="0" fontId="0" fillId="47" borderId="0" xfId="0" applyNumberFormat="1" applyFont="1" applyFill="1" applyBorder="1"/>
    <x:xf numFmtId="0" fontId="22" fillId="47" borderId="0" xfId="0" applyNumberFormat="1" applyFont="1" applyFill="1" applyBorder="1"/>
    <x:xf numFmtId="0" fontId="22" fillId="47" borderId="0" xfId="0" applyNumberFormat="1" applyFont="1" applyFill="1" applyBorder="1" applyAlignment="1">
      <x:alignment wrapText="1"/>
    </x:xf>
    <x:xf numFmtId="0" fontId="0" fillId="49" borderId="0" xfId="0" applyNumberFormat="1" applyFont="1" applyFill="1" applyBorder="1"/>
    <x:xf numFmtId="0" fontId="6" fillId="49" borderId="0" xfId="0" applyNumberFormat="1" applyFont="1" applyFill="1" applyBorder="1"/>
    <x:xf numFmtId="0" fontId="6" fillId="49" xfId="0" applyNumberFormat="1" applyFont="1" applyFill="1" applyBorder="0"/>
    <x:xf numFmtId="0" fontId="6" fillId="49" xfId="0" applyNumberFormat="1" applyFont="1" applyFill="1" applyBorder="0" applyAlignment="1">
      <x:alignment wrapText="1"/>
    </x:xf>
    <x:xf numFmtId="0" fontId="6" fillId="49" xfId="0" applyNumberFormat="1" applyFont="1" applyFill="1" applyBorder="0" applyAlignment="1">
      <x:alignment horizontal="center" wrapText="1"/>
    </x:xf>
    <x:xf numFmtId="0" fontId="0" fillId="48" borderId="0" xfId="0" applyNumberFormat="1" applyFont="1" applyFill="1" applyBorder="1"/>
    <x:xf numFmtId="0" fontId="0" fillId="50" borderId="0" xfId="0" applyNumberFormat="1" applyFont="1" applyFill="1" applyBorder="1"/>
    <x:xf numFmtId="0" fontId="0" fillId="52" xfId="0" applyNumberFormat="1" applyFont="1" applyFill="1" applyBorder="0"/>
    <x:xf numFmtId="0" fontId="0" fillId="48" xfId="0" applyNumberFormat="1" applyFont="1" applyFill="1" applyBorder="0"/>
    <x:xf numFmtId="0" fontId="0" fillId="50" xfId="0" applyNumberFormat="1" applyFont="1" applyFill="1" applyBorder="0"/>
    <x:xf numFmtId="0" fontId="0" fillId="52" xfId="0" applyNumberFormat="1" applyFont="1" applyFill="1" applyBorder="0" applyAlignment="1">
      <x:alignment vertical="center"/>
    </x:xf>
    <x:xf numFmtId="0" fontId="0" fillId="48" xfId="0" applyNumberFormat="1" applyFont="1" applyFill="1" applyBorder="0" applyAlignment="1">
      <x:alignment vertical="center"/>
    </x:xf>
    <x:xf numFmtId="0" fontId="0" fillId="50" xfId="0" applyNumberFormat="1" applyFont="1" applyFill="1" applyBorder="0" applyAlignment="1">
      <x:alignment vertical="center"/>
    </x:xf>
    <x:xf numFmtId="201" fontId="8" fillId="50" borderId="0" xfId="0" applyNumberFormat="1" applyFont="1" applyFill="1" applyBorder="1" applyAlignment="1">
      <x:alignment vertical="center" wrapText="1"/>
    </x:xf>
    <x:xf numFmtId="0" fontId="3" fillId="46" borderId="0" xfId="0" applyNumberFormat="1" applyFont="1" applyFill="1" applyBorder="1"/>
    <x:xf numFmtId="0" fontId="3" fillId="46" borderId="0" xfId="0" applyNumberFormat="1" applyFont="1" applyFill="1" applyBorder="1" applyAlignment="1">
      <x:alignment vertical="center"/>
    </x:xf>
    <x:xf numFmtId="0" fontId="0" fillId="51" xfId="0" applyNumberFormat="1" applyFont="1" applyFill="1" applyBorder="0"/>
    <x:xf numFmtId="0" fontId="0" fillId="47" borderId="0" xfId="0" applyNumberFormat="1" applyFont="1" applyFill="1" applyBorder="1" applyAlignment="1">
      <x:alignment wrapText="1"/>
    </x:xf>
    <x:xf numFmtId="0" fontId="0" fillId="51" borderId="0" xfId="0" applyNumberFormat="1" applyFont="1" applyFill="1" applyBorder="1"/>
    <x:xf numFmtId="0" fontId="4" fillId="51" borderId="0" xfId="0" applyNumberFormat="1" applyFont="1" applyFill="1" applyBorder="1"/>
    <x:xf numFmtId="0" fontId="4" fillId="51" xfId="0" applyNumberFormat="1" applyFont="1" applyFill="1" applyBorder="0"/>
    <x:xf numFmtId="0" fontId="4" fillId="51" xfId="0" applyNumberFormat="1" applyFont="1" applyFill="1" applyBorder="0" applyAlignment="1">
      <x:alignment horizontal="center"/>
    </x:xf>
    <x:xf numFmtId="0" fontId="4" fillId="51" xfId="0" applyNumberFormat="1" applyFont="1" applyFill="1" applyBorder="0" applyAlignment="1">
      <x:alignment horizontal="center" wrapText="1"/>
    </x:xf>
    <x:xf numFmtId="0" fontId="3" fillId="46" borderId="0" xfId="0" applyNumberFormat="1" applyFont="1" applyFill="1" applyBorder="1" applyAlignment="1">
      <x:alignment horizontal="center" vertical="center" wrapText="1"/>
    </x:xf>
    <x:xf numFmtId="0" fontId="1" fillId="29" borderId="0" xfId="0" applyNumberFormat="1" applyFont="1" applyFill="1" applyBorder="1" applyAlignment="1">
      <x:alignment horizontal="left" vertical="center" wrapText="1"/>
    </x:xf>
    <x:xf numFmtId="0" fontId="2" fillId="19" borderId="0" xfId="0" applyNumberFormat="1" applyFont="1" applyFill="1" applyBorder="1" applyAlignment="1">
      <x:alignment vertical="center" wrapText="1"/>
    </x:xf>
    <x:xf numFmtId="0" fontId="23" fillId="19" borderId="0" xfId="0" applyNumberFormat="1" applyFont="1" applyFill="1" applyBorder="1" applyAlignment="1">
      <x:alignment vertical="center" wrapText="1"/>
    </x:xf>
    <x:xf numFmtId="0" fontId="3" fillId="29" borderId="0" xfId="0" applyNumberFormat="1" applyFont="1" applyFill="1" applyBorder="1" applyAlignment="1">
      <x:alignment horizontal="left" vertical="center" wrapText="1"/>
    </x:xf>
    <x:xf numFmtId="0" fontId="5" fillId="11" xfId="0" applyNumberFormat="1" applyFont="1" applyFill="1" applyBorder="0" applyAlignment="1">
      <x:alignment vertical="center" wrapText="1"/>
    </x:xf>
    <x:xf numFmtId="0" fontId="6" fillId="11" xfId="0" applyNumberFormat="1" applyFont="1" applyFill="1" applyBorder="0" applyAlignment="1">
      <x:alignment horizontal="center" vertical="center" wrapText="1"/>
    </x:xf>
    <x:xf numFmtId="0" fontId="0" fillId="11" xfId="0" applyNumberFormat="1" applyFont="1" applyFill="1" applyBorder="0" applyAlignment="1">
      <x:alignment vertical="center" wrapText="1"/>
    </x:xf>
    <x:xf numFmtId="0" fontId="7" fillId="29" borderId="0" xfId="0" applyNumberFormat="1" applyFont="1" applyFill="1" applyBorder="1" applyAlignment="1">
      <x:alignment vertical="center" wrapText="1"/>
    </x:xf>
    <x:xf numFmtId="0" fontId="18" fillId="29" borderId="0" xfId="0" applyNumberFormat="1" applyFont="1" applyFill="1" applyBorder="1" applyAlignment="1">
      <x:alignment vertical="center" wrapText="1"/>
    </x:xf>
    <x:xf numFmtId="0" fontId="11" fillId="4" xfId="0" applyNumberFormat="1" applyFont="1" applyFill="1" applyBorder="0" applyAlignment="1">
      <x:alignment vertical="center" wrapText="1"/>
    </x:xf>
    <x:xf numFmtId="0" fontId="24" fillId="4" xfId="0" applyNumberFormat="1" applyFont="1" applyFill="1" applyBorder="0" applyAlignment="1">
      <x:alignment vertical="center" wrapText="1"/>
    </x:xf>
    <x:xf numFmtId="0" fontId="24" fillId="4" xfId="0" applyNumberFormat="1" applyFont="1" applyFill="1" applyBorder="0" applyAlignment="1">
      <x:alignment horizontal="center" vertical="center" wrapText="1"/>
    </x:xf>
    <x:xf numFmtId="0" fontId="0" fillId="29"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6" fillId="4" borderId="0" xfId="0" applyNumberFormat="1" applyFont="1" applyFill="1" applyBorder="1" applyAlignment="1">
      <x:alignment vertical="center" wrapText="1"/>
    </x:xf>
    <x:xf numFmtId="0" fontId="6" fillId="4" xfId="0" applyNumberFormat="1" applyFont="1" applyFill="1" applyBorder="0" applyAlignment="1">
      <x:alignment vertical="center" wrapText="1"/>
    </x:xf>
    <x:xf numFmtId="0" fontId="22" fillId="7"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25" fillId="7" borderId="0" xfId="0" applyNumberFormat="1" applyFont="1" applyFill="1" applyBorder="1" applyAlignment="1">
      <x:alignment vertical="center" wrapText="1"/>
    </x:xf>
    <x:xf numFmtId="0" fontId="8" fillId="21" borderId="0" xfId="0" applyNumberFormat="1" applyFont="1" applyFill="1" applyBorder="1" applyAlignment="1">
      <x:alignment vertical="center" wrapText="1"/>
    </x:xf>
    <x:xf numFmtId="200" fontId="8" fillId="21" borderId="0" xfId="0" applyNumberFormat="1" applyFont="1" applyFill="1" applyBorder="1" applyAlignment="1">
      <x:alignment vertical="center" wrapText="1"/>
    </x:xf>
    <x:xf numFmtId="0" fontId="0" fillId="21" borderId="0" xfId="0" applyNumberFormat="1" applyFont="1" applyFill="1" applyBorder="1" applyAlignment="1">
      <x:alignment vertical="center" wrapText="1"/>
    </x:xf>
    <x:xf numFmtId="0" fontId="3" fillId="21" borderId="0" xfId="0" applyNumberFormat="1" applyFont="1" applyFill="1" applyBorder="1" applyAlignment="1">
      <x:alignment horizontal="left" vertical="center" wrapText="1"/>
    </x:xf>
    <x:xf numFmtId="201" fontId="8" fillId="21" borderId="0" xfId="0" applyNumberFormat="1" applyFont="1" applyFill="1" applyBorder="1" applyAlignment="1">
      <x:alignment vertical="center" wrapText="1"/>
    </x:xf>
    <x:xf numFmtId="201" fontId="0" fillId="21" borderId="0" xfId="0" applyNumberFormat="1" applyFont="1" applyFill="1" applyBorder="1" applyAlignment="1">
      <x:alignment vertical="center" wrapText="1"/>
    </x:xf>
    <x:xf numFmtId="201" fontId="3" fillId="21" borderId="0" xfId="0" applyNumberFormat="1" applyFont="1" applyFill="1" applyBorder="1" applyAlignment="1">
      <x:alignment horizontal="left" vertical="center" wrapText="1"/>
    </x:xf>
    <x:xf numFmtId="202" fontId="8" fillId="21" borderId="0" xfId="0" applyNumberFormat="1" applyFont="1" applyFill="1" applyBorder="1" applyAlignment="1">
      <x:alignment vertical="center" wrapText="1"/>
    </x:xf>
    <x:xf numFmtId="0" fontId="3" fillId="21" xfId="0" applyNumberFormat="1" applyFont="1" applyFill="1" applyBorder="0" applyAlignment="1">
      <x:alignment vertical="center" wrapText="1"/>
    </x:xf>
    <x:xf numFmtId="0" fontId="14" fillId="21" xfId="0" applyNumberFormat="1" applyFont="1" applyFill="1" applyBorder="0" applyAlignment="1">
      <x:alignment vertical="center" wrapText="1"/>
    </x:xf>
    <x:xf numFmtId="205" fontId="14" fillId="21" xfId="0" applyNumberFormat="1" applyFont="1" applyFill="1" applyBorder="0" applyAlignment="1">
      <x:alignment vertical="center" wrapText="1"/>
    </x:xf>
    <x:xf numFmtId="202" fontId="14" fillId="21" xfId="0" applyNumberFormat="1" applyFont="1" applyFill="1" applyBorder="0" applyAlignment="1">
      <x:alignment vertical="center" wrapText="1"/>
    </x:xf>
    <x:xf numFmtId="200" fontId="14" fillId="21" xfId="0" applyNumberFormat="1" applyFont="1" applyFill="1" applyBorder="0" applyAlignment="1">
      <x:alignment vertical="center" wrapText="1"/>
    </x:xf>
    <x:xf numFmtId="0" fontId="3" fillId="21" borderId="0" xfId="0" applyNumberFormat="1" applyFont="1" applyFill="1" applyBorder="1" applyAlignment="1">
      <x:alignment vertical="center" wrapText="1"/>
    </x:xf>
    <x:xf numFmtId="0" fontId="19" fillId="21" borderId="2" xfId="0" applyNumberFormat="1" applyFont="1" applyFill="1" applyBorder="1" applyAlignment="1">
      <x:alignment vertical="center" wrapText="1"/>
    </x:xf>
    <x:xf numFmtId="0" fontId="19" fillId="21" borderId="3" xfId="0" applyNumberFormat="1" applyFont="1" applyFill="1" applyBorder="1" applyAlignment="1">
      <x:alignment vertical="center" wrapText="1"/>
    </x:xf>
    <x:xf numFmtId="0" fontId="19" fillId="21" borderId="3" xfId="0" applyNumberFormat="1" applyFont="1" applyFill="1" applyBorder="1" applyAlignment="1">
      <x:alignment wrapText="1"/>
    </x:xf>
    <x:xf numFmtId="0" fontId="19" fillId="21" borderId="4" xfId="0" applyNumberFormat="1" applyFont="1" applyFill="1" applyBorder="1" applyAlignment="1">
      <x:alignment wrapText="1"/>
    </x:xf>
    <x:xf numFmtId="0" fontId="3" fillId="21" borderId="0" xfId="0" applyNumberFormat="1" applyFont="1" applyFill="1" applyBorder="1" applyAlignment="1">
      <x:alignment wrapText="1"/>
    </x:xf>
    <x:xf numFmtId="0" fontId="19" fillId="21" borderId="2" xfId="0" applyNumberFormat="1" applyFont="1" applyFill="1" applyBorder="1" applyAlignment="1">
      <x:alignment wrapText="1"/>
    </x:xf>
    <x:xf numFmtId="0" fontId="3" fillId="21" borderId="0" xfId="0" applyNumberFormat="1" applyFont="1" applyFill="1" applyBorder="1" applyAlignment="1">
      <x:alignment vertical="center"/>
    </x:xf>
    <x:xf numFmtId="0" fontId="0" fillId="21" xfId="0" applyNumberFormat="1" applyFont="1" applyFill="1" applyBorder="0" applyAlignment="1">
      <x:alignment wrapText="1"/>
    </x:xf>
    <x:xf numFmtId="0" fontId="8" fillId="3" borderId="0" xfId="0" applyNumberFormat="1" applyFont="1" applyFill="1" applyBorder="1" applyAlignment="1">
      <x:alignment vertical="center" wrapText="1"/>
    </x:xf>
    <x:xf numFmtId="200" fontId="8" fillId="3" borderId="0" xfId="0" applyNumberFormat="1" applyFont="1" applyFill="1" applyBorder="1" applyAlignment="1">
      <x:alignment vertical="center" wrapText="1"/>
    </x:xf>
    <x:xf numFmtId="0" fontId="0" fillId="21" xfId="0" applyNumberFormat="1" applyFont="1" applyFill="1" applyBorder="0"/>
    <x:xf numFmtId="0" fontId="0" fillId="21" xfId="0" applyNumberFormat="1" applyFont="1" applyFill="1" applyBorder="0" applyAlignment="1">
      <x:alignment vertical="center"/>
    </x:xf>
    <x:xf numFmtId="0" fontId="0" fillId="11" xfId="0" applyNumberFormat="1" applyFont="1" applyFill="1" applyBorder="0" applyAlignment="1">
      <x:alignment vertical="center"/>
    </x:xf>
    <x:xf numFmtId="0" fontId="0" fillId="3" xfId="0" applyNumberFormat="1" applyFont="1" applyFill="1" applyBorder="0" applyAlignment="1">
      <x:alignment vertical="center"/>
    </x:xf>
    <x:xf numFmtId="201" fontId="8" fillId="3" borderId="0" xfId="0" applyNumberFormat="1" applyFont="1" applyFill="1" applyBorder="1" applyAlignment="1">
      <x:alignment vertical="center" wrapText="1"/>
    </x:xf>
    <x:xf numFmtId="0" fontId="0" fillId="7" xfId="0" applyNumberFormat="1" applyFont="1" applyFill="1" applyBorder="0"/>
    <x:xf numFmtId="0" fontId="4" fillId="7" xfId="0" applyNumberFormat="1" applyFont="1" applyFill="1" applyBorder="0"/>
    <x:xf numFmtId="0" fontId="4" fillId="7" xfId="0" applyNumberFormat="1" applyFont="1" applyFill="1" applyBorder="0" applyAlignment="1">
      <x:alignment horizontal="center"/>
    </x:xf>
    <x:xf numFmtId="0" fontId="4" fillId="7" xfId="0" applyNumberFormat="1" applyFont="1" applyFill="1" applyBorder="0" applyAlignment="1">
      <x:alignment horizontal="center" wrapText="1"/>
    </x:xf>
    <x:xf numFmtId="0" fontId="3" fillId="29" borderId="0" xfId="0" applyNumberFormat="1" applyFont="1" applyFill="1" applyBorder="1" applyAlignment="1">
      <x:alignment horizontal="center" vertical="center" wrapText="1"/>
    </x:xf>
    <x:xf numFmtId="0" fontId="0" fillId="53" borderId="0" xfId="0" applyNumberFormat="1" applyFont="1" applyFill="1" applyBorder="1"/>
    <x:xf numFmtId="0" fontId="16" fillId="53" borderId="0" xfId="0" applyNumberFormat="1" applyFont="1" applyFill="1" applyBorder="1"/>
    <x:xf numFmtId="0" fontId="16" fillId="53" borderId="0" xfId="0" applyNumberFormat="1" applyFont="1" applyFill="1" applyBorder="1" applyAlignment="1">
      <x:alignment wrapText="1"/>
    </x:xf>
    <x:xf numFmtId="0" fontId="16" fillId="53" borderId="0" xfId="0" applyNumberFormat="1" applyFont="1" applyFill="1" applyBorder="1" applyAlignment="1">
      <x:alignment vertical="center" wrapText="1"/>
    </x:xf>
    <x:xf numFmtId="0" fontId="0" fillId="54" borderId="0" xfId="0" applyNumberFormat="1" applyFont="1" applyFill="1" applyBorder="1"/>
    <x:xf numFmtId="0" fontId="0" fillId="5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3" fillId="53" borderId="0" xfId="0" applyNumberFormat="1" applyFont="1" applyFill="1" applyBorder="1" applyAlignment="1">
      <x:alignment vertical="center" wrapText="1"/>
    </x:xf>
    <x:xf numFmtId="0" fontId="0" fillId="55" borderId="0" xfId="0" applyNumberFormat="1" applyFont="1" applyFill="1" applyBorder="1"/>
    <x:xf numFmtId="0" fontId="6" fillId="55" borderId="0" xfId="0" applyNumberFormat="1" applyFont="1" applyFill="1" applyBorder="1"/>
    <x:xf numFmtId="0" fontId="6" fillId="55" xfId="0" applyNumberFormat="1" applyFont="1" applyFill="1" applyBorder="0"/>
    <x:xf numFmtId="0" fontId="6" fillId="55" xfId="0" applyNumberFormat="1" applyFont="1" applyFill="1" applyBorder="0" applyAlignment="1">
      <x:alignment wrapText="1"/>
    </x:xf>
    <x:xf numFmtId="0" fontId="6" fillId="55" xfId="0" applyNumberFormat="1" applyFont="1" applyFill="1" applyBorder="0" applyAlignment="1">
      <x:alignment horizontal="center" wrapText="1"/>
    </x:xf>
    <x:xf numFmtId="0" fontId="6" fillId="55" xfId="0" applyNumberFormat="1" applyFont="1" applyFill="1" applyBorder="0" applyAlignment="1">
      <x:alignment horizontal="center" vertical="center" wrapText="1"/>
    </x:xf>
    <x:xf numFmtId="0" fontId="0" fillId="0" xfId="0" applyNumberFormat="1" applyFont="1" applyFill="1" applyBorder="0" applyAlignment="1">
      <x:alignment vertical="top"/>
    </x:xf>
    <x:xf numFmtId="0" fontId="0" fillId="0" xfId="0" applyNumberFormat="1" applyFont="1" applyFill="1" applyBorder="0" applyAlignment="1">
      <x:alignment vertical="top" wrapText="1"/>
    </x:xf>
    <x:xf numFmtId="0" fontId="0" fillId="56" borderId="0" xfId="0" applyNumberFormat="1" applyFont="1" applyFill="1" applyBorder="1"/>
    <x:xf numFmtId="0" fontId="0" fillId="56" borderId="0" xfId="0" applyNumberFormat="1" applyFont="1" applyFill="1" applyBorder="1" applyAlignment="1">
      <x:alignment wrapText="1"/>
    </x:xf>
    <x:xf numFmtId="207" fontId="0" fillId="0" borderId="0" xfId="0" applyNumberFormat="1" applyFont="1" applyFill="1" applyBorder="1"/>
    <x:xf numFmtId="207" fontId="3" fillId="53" borderId="0" xfId="0" applyNumberFormat="1" applyFont="1" applyFill="1" applyBorder="1" applyAlignment="1">
      <x:alignment vertical="center" wrapText="1"/>
    </x:xf>
    <x:xf numFmtId="207" fontId="6" fillId="55" xfId="0" applyNumberFormat="1" applyFont="1" applyFill="1" applyBorder="0" applyAlignment="1">
      <x:alignment horizontal="center" vertical="center" wrapText="1"/>
    </x:xf>
    <x:xf numFmtId="208" fontId="0" fillId="0" borderId="0" xfId="0" applyNumberFormat="1" applyFont="1" applyFill="1" applyBorder="1"/>
    <x:xf numFmtId="208" fontId="3" fillId="53" borderId="0" xfId="0" applyNumberFormat="1" applyFont="1" applyFill="1" applyBorder="1" applyAlignment="1">
      <x:alignment vertical="center" wrapText="1"/>
    </x:xf>
    <x:xf numFmtId="208" fontId="6" fillId="55" xfId="0" applyNumberFormat="1" applyFont="1" applyFill="1" applyBorder="0" applyAlignment="1">
      <x:alignment horizontal="center" vertical="center" wrapText="1"/>
    </x:xf>
    <x:xf numFmtId="0" fontId="0" fillId="57" borderId="0" xfId="0" applyNumberFormat="1" applyFont="1" applyFill="1" applyBorder="1"/>
    <x:xf numFmtId="207" fontId="0" fillId="57" borderId="0" xfId="0" applyNumberFormat="1" applyFont="1" applyFill="1" applyBorder="1"/>
    <x:xf numFmtId="0" fontId="3" fillId="57" borderId="0" xfId="0" applyNumberFormat="1" applyFont="1" applyFill="1" applyBorder="1" applyAlignment="1">
      <x:alignment vertical="center" wrapText="1"/>
    </x:xf>
    <x:xf numFmtId="207" fontId="3" fillId="57" borderId="0" xfId="0" applyNumberFormat="1" applyFont="1" applyFill="1" applyBorder="1" applyAlignment="1">
      <x:alignment vertical="center" wrapText="1"/>
    </x:xf>
    <x:xf numFmtId="0" fontId="6" fillId="57" xfId="0" applyNumberFormat="1" applyFont="1" applyFill="1" applyBorder="0" applyAlignment="1">
      <x:alignment horizontal="center" vertical="center" wrapText="1"/>
    </x:xf>
    <x:xf numFmtId="207" fontId="6" fillId="57" xfId="0" applyNumberFormat="1" applyFont="1" applyFill="1" applyBorder="0" applyAlignment="1">
      <x:alignment horizontal="center" vertical="center" wrapText="1"/>
    </x:xf>
    <x:xf numFmtId="208" fontId="0" fillId="58" borderId="0" xfId="0" applyNumberFormat="1" applyFont="1" applyFill="1" applyBorder="1"/>
    <x:xf numFmtId="208" fontId="3" fillId="58" borderId="0" xfId="0" applyNumberFormat="1" applyFont="1" applyFill="1" applyBorder="1" applyAlignment="1">
      <x:alignment vertical="center" wrapText="1"/>
    </x:xf>
    <x:xf numFmtId="208" fontId="6" fillId="58" xfId="0" applyNumberFormat="1" applyFont="1" applyFill="1" applyBorder="0" applyAlignment="1">
      <x:alignment horizontal="center" vertical="center" wrapText="1"/>
    </x:xf>
    <x:xf numFmtId="208" fontId="0" fillId="59" borderId="0" xfId="0" applyNumberFormat="1" applyFont="1" applyFill="1" applyBorder="1"/>
    <x:xf numFmtId="208" fontId="3" fillId="59" borderId="0" xfId="0" applyNumberFormat="1" applyFont="1" applyFill="1" applyBorder="1" applyAlignment="1">
      <x:alignment vertical="center" wrapText="1"/>
    </x:xf>
    <x:xf numFmtId="208" fontId="6" fillId="59" xfId="0" applyNumberFormat="1" applyFont="1" applyFill="1" applyBorder="0" applyAlignment="1">
      <x:alignment horizontal="center" vertical="center" wrapText="1"/>
    </x:xf>
    <x:xf numFmtId="0" fontId="0" fillId="57" xfId="0" applyNumberFormat="1" applyFont="1" applyFill="1" applyBorder="0"/>
    <x:xf numFmtId="207" fontId="0" fillId="57" xfId="0" applyNumberFormat="1" applyFont="1" applyFill="1" applyBorder="0"/>
    <x:xf numFmtId="208" fontId="0" fillId="58" xfId="0" applyNumberFormat="1" applyFont="1" applyFill="1" applyBorder="0"/>
    <x:xf numFmtId="208" fontId="0" fillId="59" xfId="0" applyNumberFormat="1" applyFont="1" applyFill="1" applyBorder="0"/>
    <x:xf numFmtId="0" fontId="0" fillId="57" xfId="0" applyNumberFormat="1" applyFont="1" applyFill="1" applyBorder="0" applyAlignment="1">
      <x:alignment vertical="top"/>
    </x:xf>
    <x:xf numFmtId="207" fontId="0" fillId="57" xfId="0" applyNumberFormat="1" applyFont="1" applyFill="1" applyBorder="0" applyAlignment="1">
      <x:alignment vertical="top"/>
    </x:xf>
    <x:xf numFmtId="208" fontId="0" fillId="58" xfId="0" applyNumberFormat="1" applyFont="1" applyFill="1" applyBorder="0" applyAlignment="1">
      <x:alignment vertical="top"/>
    </x:xf>
    <x:xf numFmtId="208" fontId="0" fillId="59" xfId="0" applyNumberFormat="1" applyFont="1" applyFill="1" applyBorder="0" applyAlignment="1">
      <x:alignment vertical="top"/>
    </x:xf>
    <x:xf numFmtId="0" fontId="0" fillId="57" xfId="0" applyNumberFormat="1" applyFont="1" applyFill="1" applyBorder="0" applyAlignment="1">
      <x:alignment vertical="top" wrapText="1"/>
    </x:xf>
    <x:xf numFmtId="207" fontId="0" fillId="57" xfId="0" applyNumberFormat="1" applyFont="1" applyFill="1" applyBorder="0" applyAlignment="1">
      <x:alignment vertical="top" wrapText="1"/>
    </x:xf>
    <x:xf numFmtId="208" fontId="0" fillId="58" xfId="0" applyNumberFormat="1" applyFont="1" applyFill="1" applyBorder="0" applyAlignment="1">
      <x:alignment vertical="top" wrapText="1"/>
    </x:xf>
    <x:xf numFmtId="208" fontId="0" fillId="59" xfId="0" applyNumberFormat="1" applyFont="1" applyFill="1" applyBorder="0" applyAlignment="1">
      <x:alignment vertical="top" wrapText="1"/>
    </x:xf>
    <x:xf numFmtId="0" fontId="0" fillId="57" borderId="0" xfId="0" applyNumberFormat="1" applyFont="1" applyFill="1" applyBorder="1" applyAlignment="1">
      <x:alignment wrapText="1"/>
    </x:xf>
    <x:xf numFmtId="207" fontId="0" fillId="57" borderId="0" xfId="0" applyNumberFormat="1" applyFont="1" applyFill="1" applyBorder="1" applyAlignment="1">
      <x:alignment wrapText="1"/>
    </x:xf>
    <x:xf numFmtId="208" fontId="0" fillId="58" borderId="0" xfId="0" applyNumberFormat="1" applyFont="1" applyFill="1" applyBorder="1" applyAlignment="1">
      <x:alignment wrapText="1"/>
    </x:xf>
    <x:xf numFmtId="208" fontId="0" fillId="59" borderId="0" xfId="0" applyNumberFormat="1" applyFont="1" applyFill="1" applyBorder="1" applyAlignment="1">
      <x:alignment wrapText="1"/>
    </x:xf>
    <x:xf numFmtId="0" fontId="3" fillId="53" borderId="0" xfId="0" applyNumberFormat="1" applyFont="1" applyFill="1" applyBorder="1" applyAlignment="1">
      <x:alignment horizontal="center" vertical="center" wrapText="1"/>
    </x:xf>
    <x:xf numFmtId="209" fontId="0" fillId="57" xfId="0" applyNumberFormat="1" applyFont="1" applyFill="1" applyBorder="0" applyAlignment="1">
      <x:alignment vertical="top" wrapText="1"/>
    </x:xf>
    <x:xf numFmtId="209" fontId="0" fillId="0" borderId="0" xfId="0" applyNumberFormat="1" applyFont="1" applyFill="1" applyBorder="1"/>
    <x:xf numFmtId="209" fontId="6" fillId="55" xfId="0" applyNumberFormat="1" applyFont="1" applyFill="1" applyBorder="0" applyAlignment="1">
      <x:alignment horizontal="center" vertical="center" wrapText="1"/>
    </x:xf>
  </x:cellXfs>
  <x:cellStyles count="1">
    <x:cellStyle name="Normal" xfId="0"/>
  </x:cellStyles>
  <x:dxfs count="222">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C6E0B4"/>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7F6000"/>
      </x:font>
      <x:fill>
        <x:patternFill>
          <x:bgColor rgb="FFFFF2CC"/>
        </x:patternFill>
      </x:fill>
    </x:dxf>
    <x:dxf>
      <x:font>
        <x:b/>
        <x:color rgb="FFC00000"/>
      </x:font>
      <x:fill>
        <x:patternFill>
          <x:bgColor rgb="FFFCE4D6"/>
        </x:patternFill>
      </x:fill>
    </x:dxf>
    <x:dxf>
      <x:fill>
        <x:patternFill>
          <x:bgColor rgb="FFFFF2CC"/>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ill>
        <x:patternFill>
          <x:bgColor rgb="FFE2F0D9"/>
        </x:patternFill>
      </x:fill>
    </x:dxf>
    <x:dxf>
      <x:fill>
        <x:patternFill>
          <x:bgColor rgb="FFFCE4D6"/>
        </x:patternFill>
      </x:fill>
    </x:dxf>
    <x:dxf>
      <x:fill>
        <x:patternFill>
          <x:bgColor rgb="FFFFF2CC"/>
        </x:patternFill>
      </x:fill>
    </x:dxf>
    <x:dxf>
      <x:fill>
        <x:patternFill>
          <x:bgColor rgb="FFE2F0D9"/>
        </x:patternFill>
      </x:fill>
    </x:dxf>
    <x:dxf>
      <x:fill>
        <x:patternFill>
          <x:bgColor rgb="FFFFF2CC"/>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color rgb="FF006100"/>
      </x:font>
      <x:fill>
        <x:patternFill>
          <x:bgColor rgb="FFC6E0B4"/>
        </x:patternFill>
      </x:fill>
    </x:dxf>
    <x:dxf>
      <x:font>
        <x:b/>
        <x:color rgb="FF9C0006"/>
      </x:font>
      <x:fill>
        <x:patternFill>
          <x:bgColor rgb="FFF4CCCC"/>
        </x:patternFill>
      </x:fill>
    </x:dxf>
    <x:dxf>
      <x:font>
        <x:b/>
        <x:color rgb="FF006100"/>
      </x:font>
      <x:fill>
        <x:patternFill>
          <x:bgColor rgb="FFC6E0B4"/>
        </x:patternFill>
      </x:fill>
    </x:dxf>
    <x:dxf>
      <x:font>
        <x:b/>
        <x:color rgb="FF9C0006"/>
      </x:font>
      <x:fill>
        <x:patternFill>
          <x:bgColor rgb="FFF4CCCC"/>
        </x:patternFill>
      </x:fill>
    </x:dxf>
    <x:dxf>
      <x:font>
        <x:b/>
        <x:color rgb="FF006100"/>
      </x:font>
      <x:fill>
        <x:patternFill>
          <x:bgColor rgb="FFC6E0B4"/>
        </x:patternFill>
      </x:fill>
    </x:dxf>
    <x:dxf>
      <x:font>
        <x:b/>
        <x:color rgb="FF9C0006"/>
      </x:font>
      <x:fill>
        <x:patternFill>
          <x:bgColor rgb="FFF4CCCC"/>
        </x:patternFill>
      </x:fill>
    </x:dxf>
    <x:dxf>
      <x:font>
        <x:b/>
        <x:color rgb="FF006100"/>
      </x:font>
      <x:fill>
        <x:patternFill>
          <x:bgColor rgb="FFC6E0B4"/>
        </x:patternFill>
      </x:fill>
    </x:dxf>
    <x:dxf>
      <x:font>
        <x:b/>
        <x:color rgb="FF9C0006"/>
      </x:font>
      <x:fill>
        <x:patternFill>
          <x:bgColor rgb="FFF4CCCC"/>
        </x:patternFill>
      </x:fill>
    </x:dxf>
    <x:dxf>
      <x:font>
        <x:b/>
        <x:color rgb="FF006100"/>
      </x:font>
      <x:fill>
        <x:patternFill>
          <x:bgColor rgb="FFC6E0B4"/>
        </x:patternFill>
      </x:fill>
    </x:dxf>
    <x:dxf>
      <x:font>
        <x:b/>
        <x:color rgb="FF9C0006"/>
      </x:font>
      <x:fill>
        <x:patternFill>
          <x:bgColor rgb="FFF4CCCC"/>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E2F0D9"/>
        </x:patternFill>
      </x:fill>
    </x:dxf>
    <x:dxf>
      <x:fill>
        <x:patternFill>
          <x:bgColor rgb="FFF4CC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F4CC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ac6613447d45fd" /><Relationship Type="http://schemas.openxmlformats.org/officeDocument/2006/relationships/theme" Target="/xl/theme/theme1.xml" Id="Ra71789fee3524e27" /><Relationship Type="http://schemas.openxmlformats.org/officeDocument/2006/relationships/sharedStrings" Target="/xl/sharedStrings.xml" Id="R4537ae184f564ead" /><Relationship Type="http://schemas.openxmlformats.org/officeDocument/2006/relationships/worksheet" Target="/xl/worksheets/sheet1.xml" Id="R9b4cd0935cc34897" /><Relationship Type="http://schemas.openxmlformats.org/officeDocument/2006/relationships/worksheet" Target="/xl/worksheets/sheet2.xml" Id="R4861e59b2fcc4167" /><Relationship Type="http://schemas.openxmlformats.org/officeDocument/2006/relationships/worksheet" Target="/xl/worksheets/sheet3.xml" Id="R072d6ba0e9084fc2" /><Relationship Type="http://schemas.openxmlformats.org/officeDocument/2006/relationships/worksheet" Target="/xl/worksheets/sheet4.xml" Id="R88632155103f4199" /><Relationship Type="http://schemas.openxmlformats.org/officeDocument/2006/relationships/worksheet" Target="/xl/worksheets/sheet5.xml" Id="Rf4da4e86f99541bd" /><Relationship Type="http://schemas.openxmlformats.org/officeDocument/2006/relationships/worksheet" Target="/xl/worksheets/sheet6.xml" Id="R0229348b47c9458d" /><Relationship Type="http://schemas.openxmlformats.org/officeDocument/2006/relationships/worksheet" Target="/xl/worksheets/sheet7.xml" Id="Rc7cc18637cb14b03" /><Relationship Type="http://schemas.openxmlformats.org/officeDocument/2006/relationships/worksheet" Target="/xl/worksheets/sheet8.xml" Id="Rfde298e13cf3408d" /><Relationship Type="http://schemas.openxmlformats.org/officeDocument/2006/relationships/worksheet" Target="/xl/worksheets/sheet9.xml" Id="R7d53fc6b08144feb" /><Relationship Type="http://schemas.openxmlformats.org/officeDocument/2006/relationships/worksheet" Target="/xl/worksheets/sheet10.xml" Id="Rcaf11282609846d3" /><Relationship Type="http://schemas.openxmlformats.org/officeDocument/2006/relationships/worksheet" Target="/xl/worksheets/sheet11.xml" Id="Rc15aebc35e504352" /><Relationship Type="http://schemas.openxmlformats.org/officeDocument/2006/relationships/worksheet" Target="/xl/worksheets/sheet12.xml" Id="Ra1dc8b0738c9425f" /><Relationship Type="http://schemas.openxmlformats.org/officeDocument/2006/relationships/worksheet" Target="/xl/worksheets/sheet13.xml" Id="R6f21c485b3da4da0" /><Relationship Type="http://schemas.openxmlformats.org/officeDocument/2006/relationships/worksheet" Target="/xl/worksheets/sheet14.xml" Id="R668f0049193d4e2f" /><Relationship Type="http://schemas.openxmlformats.org/officeDocument/2006/relationships/worksheet" Target="/xl/worksheets/sheet15.xml" Id="R18a44adf9d764fc9" /><Relationship Type="http://schemas.openxmlformats.org/officeDocument/2006/relationships/worksheet" Target="/xl/worksheets/sheet16.xml" Id="R97a38220753d4bac" /><Relationship Type="http://schemas.openxmlformats.org/officeDocument/2006/relationships/worksheet" Target="/xl/worksheets/sheet17.xml" Id="R36e9031691d842b7" /><Relationship Type="http://schemas.openxmlformats.org/officeDocument/2006/relationships/worksheet" Target="/xl/worksheets/sheet18.xml" Id="R69cb56abc8774d03" /><Relationship Type="http://schemas.openxmlformats.org/officeDocument/2006/relationships/worksheet" Target="/xl/worksheets/sheet19.xml" Id="R1627315b5bfe4fcf" /><Relationship Type="http://schemas.openxmlformats.org/officeDocument/2006/relationships/worksheet" Target="/xl/worksheets/sheet20.xml" Id="Recbe4b9c72334a68" /><Relationship Type="http://schemas.openxmlformats.org/officeDocument/2006/relationships/worksheet" Target="/xl/worksheets/sheet21.xml" Id="R65489c2b70544883" /><Relationship Type="http://schemas.openxmlformats.org/officeDocument/2006/relationships/worksheet" Target="/xl/worksheets/sheet22.xml" Id="R030e3192dcc8416f" /><Relationship Type="http://schemas.openxmlformats.org/officeDocument/2006/relationships/worksheet" Target="/xl/worksheets/sheet23.xml" Id="R209f84ca1767440d" /><Relationship Type="http://schemas.openxmlformats.org/officeDocument/2006/relationships/worksheet" Target="/xl/worksheets/sheet24.xml" Id="Re36dddf074a245f9" /><Relationship Type="http://schemas.openxmlformats.org/officeDocument/2006/relationships/worksheet" Target="/xl/worksheets/sheet25.xml" Id="Rd6edaaa4f95f4510" /><Relationship Type="http://schemas.openxmlformats.org/officeDocument/2006/relationships/worksheet" Target="/xl/worksheets/sheet26.xml" Id="R8de73ed046774385" /><Relationship Type="http://schemas.openxmlformats.org/officeDocument/2006/relationships/worksheet" Target="/xl/worksheets/sheet27.xml" Id="R18d2fede06a64cc6" /><Relationship Type="http://schemas.openxmlformats.org/officeDocument/2006/relationships/worksheet" Target="/xl/worksheets/sheet28.xml" Id="Ra359eb9f5b3a4695" /><Relationship Type="http://schemas.openxmlformats.org/officeDocument/2006/relationships/worksheet" Target="/xl/worksheets/sheet29.xml" Id="Rc9a5f8c24c324e92" /><Relationship Type="http://schemas.openxmlformats.org/officeDocument/2006/relationships/worksheet" Target="/xl/worksheets/sheet30.xml" Id="Raf1f36d0f03a44d3" /><Relationship Type="http://schemas.openxmlformats.org/officeDocument/2006/relationships/worksheet" Target="/xl/worksheets/sheet31.xml" Id="Rc83505b84d934d6c" /><Relationship Type="http://schemas.openxmlformats.org/officeDocument/2006/relationships/worksheet" Target="/xl/worksheets/sheet32.xml" Id="R8d2517cf6c194b8c" /><Relationship Type="http://schemas.openxmlformats.org/officeDocument/2006/relationships/worksheet" Target="/xl/worksheets/sheet33.xml" Id="Rb3016fd8ef524ace" /><Relationship Type="http://schemas.openxmlformats.org/officeDocument/2006/relationships/worksheet" Target="/xl/worksheets/sheet34.xml" Id="R8c8ba9e7f18149ad" /><Relationship Type="http://schemas.openxmlformats.org/officeDocument/2006/relationships/worksheet" Target="/xl/worksheets/sheet35.xml" Id="R985d5489c26a4101" /><Relationship Type="http://schemas.openxmlformats.org/officeDocument/2006/relationships/worksheet" Target="/xl/worksheets/sheet36.xml" Id="R39c72362c6e14189" /><Relationship Type="http://schemas.openxmlformats.org/officeDocument/2006/relationships/worksheet" Target="/xl/worksheets/sheet37.xml" Id="Rb55d3bed9e234862" /><Relationship Type="http://schemas.openxmlformats.org/officeDocument/2006/relationships/worksheet" Target="/xl/worksheets/sheet38.xml" Id="R7c6b1cf2aad14ffc" /><Relationship Type="http://schemas.openxmlformats.org/officeDocument/2006/relationships/worksheet" Target="/xl/worksheets/sheet39.xml" Id="R9e7b55cd62e545da" /><Relationship Type="http://schemas.openxmlformats.org/officeDocument/2006/relationships/worksheet" Target="/xl/worksheets/sheet40.xml" Id="R6d78ae43a2ac4504" /><Relationship Type="http://schemas.openxmlformats.org/officeDocument/2006/relationships/worksheet" Target="/xl/worksheets/sheet41.xml" Id="Rfcc126dfdaf94fc3" /><Relationship Type="http://schemas.openxmlformats.org/officeDocument/2006/relationships/worksheet" Target="/xl/worksheets/sheet42.xml" Id="Reb349cf93977465f" /><Relationship Type="http://schemas.openxmlformats.org/officeDocument/2006/relationships/worksheet" Target="/xl/worksheets/sheet43.xml" Id="R6f2eb3f7539b45bd" /><Relationship Type="http://schemas.openxmlformats.org/officeDocument/2006/relationships/worksheet" Target="/xl/worksheets/sheet44.xml" Id="Re21236b011824617" /><Relationship Type="http://schemas.openxmlformats.org/officeDocument/2006/relationships/worksheet" Target="/xl/worksheets/sheet45.xml" Id="R9d16ac79424e4d41" /><Relationship Type="http://schemas.openxmlformats.org/officeDocument/2006/relationships/worksheet" Target="/xl/worksheets/sheet46.xml" Id="R5322c9bd37a34c54" /><Relationship Type="http://schemas.openxmlformats.org/officeDocument/2006/relationships/worksheet" Target="/xl/worksheets/sheet47.xml" Id="Rf12d31621ca14cea" /><Relationship Type="http://schemas.openxmlformats.org/officeDocument/2006/relationships/worksheet" Target="/xl/worksheets/sheet48.xml" Id="R5606baf6697841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24" hidden="0" customWidth="1"/>
    <x:col min="3" max="3" width="28" hidden="0" customWidth="1"/>
    <x:col min="4" max="4" width="4" hidden="0" customWidth="1"/>
    <x:col min="5" max="5" width="27" hidden="0" customWidth="1"/>
    <x:col min="6" max="6" width="28" hidden="0" customWidth="1"/>
    <x:col min="7" max="7" width="34"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ht="28" customHeight="1">
      <x:c r="B2" s="459" t="str">
        <x:v>SMART PROJECT SETUP — FUNCTION → VERIFICATION → DESIGN OUTPUT</x:v>
      </x:c>
      <x:c r="C2" s="459"/>
      <x:c r="D2" s="459"/>
      <x:c r="E2" s="459"/>
      <x:c r="F2" s="459"/>
      <x:c r="G2" s="459"/>
      <x:c r="H2" s="79"/>
      <x:c r="I2" s="78"/>
      <x:c r="J2" s="78"/>
      <x:c r="K2" s="78"/>
    </x:row>
    <x:row r="3">
      <x:c r="B3" s="79"/>
      <x:c r="C3" s="79"/>
      <x:c r="D3" s="79"/>
      <x:c r="E3" s="79"/>
      <x:c r="F3" s="79"/>
      <x:c r="G3" s="79"/>
      <x:c r="H3" s="79"/>
      <x:c r="I3" s="78"/>
      <x:c r="J3" s="78"/>
      <x:c r="K3" s="78"/>
    </x:row>
    <x:row r="4" ht="48" customHeight="1">
      <x:c r="B4" s="461" t="str">
        <x:v>START HERE. Enter only the project decisions a human actually needs to make. Geometry is confirmed from CAD, hazards/jurisdiction come from GIS/API sources, and code/product values belong to the engine. Nothing is issued until function, verification, drawing synchronization, and approvals are complete.</x:v>
      </x:c>
      <x:c r="C4" s="461"/>
      <x:c r="D4" s="461"/>
      <x:c r="E4" s="461"/>
      <x:c r="F4" s="461"/>
      <x:c r="G4" s="461"/>
      <x:c r="H4" s="80"/>
      <x:c r="I4" s="78"/>
      <x:c r="J4" s="78"/>
      <x:c r="K4" s="78"/>
    </x:row>
    <x:row r="5">
      <x:c r="B5" s="78"/>
      <x:c r="C5" s="78"/>
      <x:c r="D5" s="78"/>
      <x:c r="E5" s="78"/>
      <x:c r="F5" s="78"/>
      <x:c r="G5" s="78"/>
      <x:c r="H5" s="78"/>
      <x:c r="I5" s="78"/>
      <x:c r="J5" s="78"/>
      <x:c r="K5" s="78"/>
    </x:row>
    <x:row r="6">
      <x:c r="B6" s="462" t="str">
        <x:v>PROJECT IDENTITY</x:v>
      </x:c>
      <x:c r="C6" s="462"/>
      <x:c r="D6" s="78"/>
      <x:c r="E6" s="462" t="str">
        <x:v>ENGINEERING DECISIONS</x:v>
      </x:c>
      <x:c r="F6" s="462"/>
      <x:c r="G6" s="81"/>
      <x:c r="H6" s="81"/>
      <x:c r="I6" s="78"/>
      <x:c r="J6" s="78"/>
      <x:c r="K6" s="78"/>
    </x:row>
    <x:row r="7">
      <x:c r="B7" s="212" t="str">
        <x:v>Project Name</x:v>
      </x:c>
      <x:c r="C7" s="463"/>
      <x:c r="D7" s="78"/>
      <x:c r="E7" s="426" t="str">
        <x:v>Code Path</x:v>
      </x:c>
      <x:c r="F7" s="464"/>
      <x:c r="G7" s="28"/>
      <x:c r="H7" s="78"/>
      <x:c r="I7" s="78"/>
      <x:c r="J7" s="78"/>
      <x:c r="K7" s="78"/>
    </x:row>
    <x:row r="8">
      <x:c r="B8" s="212" t="str">
        <x:v>Project Address</x:v>
      </x:c>
      <x:c r="C8" s="463"/>
      <x:c r="D8" s="78"/>
      <x:c r="E8" s="152" t="str">
        <x:v>Occupancy / Use</x:v>
      </x:c>
      <x:c r="F8" s="463"/>
      <x:c r="G8" s="78"/>
      <x:c r="H8" s="78"/>
      <x:c r="I8" s="78"/>
      <x:c r="J8" s="78"/>
      <x:c r="K8" s="78"/>
    </x:row>
    <x:row r="9">
      <x:c r="B9" s="212" t="str">
        <x:v>Prepared For</x:v>
      </x:c>
      <x:c r="C9" s="463"/>
      <x:c r="D9" s="78"/>
      <x:c r="E9" s="152" t="str">
        <x:v>Risk Category</x:v>
      </x:c>
      <x:c r="F9" s="463"/>
      <x:c r="G9" s="78"/>
      <x:c r="H9" s="78"/>
      <x:c r="I9" s="78"/>
      <x:c r="J9" s="78"/>
      <x:c r="K9" s="78"/>
    </x:row>
    <x:row r="10">
      <x:c r="B10" s="212" t="str">
        <x:v>Prepared By</x:v>
      </x:c>
      <x:c r="C10" s="463"/>
      <x:c r="D10" s="78"/>
      <x:c r="E10" s="152" t="str">
        <x:v>Stories</x:v>
      </x:c>
      <x:c r="F10" s="463"/>
      <x:c r="G10" s="78"/>
      <x:c r="H10" s="78"/>
      <x:c r="I10" s="78"/>
      <x:c r="J10" s="78"/>
      <x:c r="K10" s="78"/>
    </x:row>
    <x:row r="11">
      <x:c r="B11" s="212" t="str">
        <x:v>Project No.</x:v>
      </x:c>
      <x:c r="C11" s="463"/>
      <x:c r="D11" s="78"/>
      <x:c r="E11" s="152" t="str">
        <x:v>Design Method</x:v>
      </x:c>
      <x:c r="F11" s="463"/>
      <x:c r="G11" s="78"/>
      <x:c r="H11" s="78"/>
      <x:c r="I11" s="78"/>
      <x:c r="J11" s="78"/>
      <x:c r="K11" s="78"/>
    </x:row>
    <x:row r="12">
      <x:c r="B12" s="212" t="str">
        <x:v>Package Date</x:v>
      </x:c>
      <x:c r="C12" s="463"/>
      <x:c r="D12" s="78"/>
      <x:c r="E12" s="152" t="str">
        <x:v>Primary Lateral System</x:v>
      </x:c>
      <x:c r="F12" s="463"/>
      <x:c r="G12" s="78"/>
      <x:c r="H12" s="78"/>
      <x:c r="I12" s="78"/>
      <x:c r="J12" s="78"/>
      <x:c r="K12" s="78"/>
    </x:row>
    <x:row r="13">
      <x:c r="B13" s="82"/>
      <x:c r="C13" s="83"/>
      <x:c r="D13" s="78"/>
      <x:c r="E13" s="152" t="str">
        <x:v>Foundation Type</x:v>
      </x:c>
      <x:c r="F13" s="465"/>
      <x:c r="G13" s="78"/>
      <x:c r="H13" s="78"/>
      <x:c r="I13" s="78"/>
      <x:c r="J13" s="78"/>
      <x:c r="K13" s="78"/>
    </x:row>
    <x:row r="14">
      <x:c r="B14" s="82"/>
      <x:c r="C14" s="83"/>
      <x:c r="D14" s="78"/>
      <x:c r="E14" s="152" t="str">
        <x:v>Geotechnical Report</x:v>
      </x:c>
      <x:c r="F14" s="465"/>
      <x:c r="G14" s="78"/>
      <x:c r="H14" s="78"/>
      <x:c r="I14" s="78"/>
      <x:c r="J14" s="78"/>
      <x:c r="K14" s="78"/>
    </x:row>
    <x:row r="15">
      <x:c r="B15" s="78"/>
      <x:c r="C15" s="78"/>
      <x:c r="D15" s="78"/>
      <x:c r="E15" s="152" t="str">
        <x:v>Drawing / CAD Source</x:v>
      </x:c>
      <x:c r="F15" s="465"/>
      <x:c r="G15" s="78"/>
      <x:c r="H15" s="78"/>
      <x:c r="I15" s="78"/>
      <x:c r="J15" s="78"/>
      <x:c r="K15" s="78"/>
    </x:row>
    <x:row r="16">
      <x:c r="B16" s="78"/>
      <x:c r="C16" s="78"/>
      <x:c r="D16" s="78"/>
      <x:c r="E16" s="152" t="str">
        <x:v>Setup Approval</x:v>
      </x:c>
      <x:c r="F16" s="465"/>
      <x:c r="G16" s="78"/>
      <x:c r="H16" s="78"/>
      <x:c r="I16" s="78"/>
      <x:c r="J16" s="78"/>
      <x:c r="K16" s="78"/>
    </x:row>
    <x:row r="17">
      <x:c r="B17" s="64"/>
      <x:c r="C17" s="64"/>
      <x:c r="D17" s="64"/>
      <x:c r="E17" s="64"/>
      <x:c r="F17" s="64"/>
      <x:c r="G17" s="64"/>
      <x:c r="H17" s="64"/>
      <x:c r="I17" s="78"/>
      <x:c r="J17" s="78"/>
      <x:c r="K17" s="78"/>
    </x:row>
    <x:row r="18">
      <x:c r="B18" s="64"/>
      <x:c r="C18" s="64"/>
      <x:c r="D18" s="64"/>
      <x:c r="E18" s="64"/>
      <x:c r="F18" s="64"/>
      <x:c r="G18" s="64"/>
      <x:c r="H18" s="64"/>
      <x:c r="I18" s="78"/>
      <x:c r="J18" s="78"/>
      <x:c r="K18" s="78"/>
    </x:row>
    <x:row r="19">
      <x:c r="B19" s="467" t="str">
        <x:v>AUTOMATION / CONFIRMATION STATUS</x:v>
      </x:c>
      <x:c r="C19" s="467"/>
      <x:c r="D19" s="467"/>
      <x:c r="E19" s="467"/>
      <x:c r="F19" s="467"/>
      <x:c r="G19" s="467"/>
      <x:c r="H19" s="64"/>
      <x:c r="I19" s="78"/>
      <x:c r="J19" s="78"/>
      <x:c r="K19" s="78"/>
    </x:row>
    <x:row r="20">
      <x:c r="B20" s="470" t="str">
        <x:v>Data Domain</x:v>
      </x:c>
      <x:c r="C20" s="470" t="str">
        <x:v>Human Action</x:v>
      </x:c>
      <x:c r="D20" s="470" t="str">
        <x:v>System Source</x:v>
      </x:c>
      <x:c r="E20" s="470" t="str">
        <x:v>Current Status</x:v>
      </x:c>
      <x:c r="F20" s="470" t="str">
        <x:v>Where to Review</x:v>
      </x:c>
      <x:c r="G20" s="470" t="str">
        <x:v>Issue Rule</x:v>
      </x:c>
      <x:c r="H20" s="64"/>
      <x:c r="I20" s="78"/>
      <x:c r="J20" s="78"/>
      <x:c r="K20" s="78"/>
    </x:row>
    <x:row r="21">
      <x:c r="B21" s="141" t="str">
        <x:v>Building Geometry</x:v>
      </x:c>
      <x:c r="C21" s="141" t="str">
        <x:v>Confirm detected geometry</x:v>
      </x:c>
      <x:c r="D21" s="141" t="str">
        <x:v>CAD / object model</x:v>
      </x:c>
      <x:c r="E21" s="141" t="str">
        <x:v>PENDING</x:v>
      </x:c>
      <x:c r="F21" s="141" t="str">
        <x:v>00_CAD_CONFIRM</x:v>
      </x:c>
      <x:c r="G21" s="141" t="str">
        <x:v>No silent geometry assumptions</x:v>
      </x:c>
      <x:c r="H21" s="78"/>
      <x:c r="I21" s="78"/>
      <x:c r="J21" s="78"/>
      <x:c r="K21" s="78"/>
    </x:row>
    <x:row r="22">
      <x:c r="B22" s="158" t="str">
        <x:v>Jurisdiction / Parcel</x:v>
      </x:c>
      <x:c r="C22" s="158" t="str">
        <x:v>Confirm if ambiguous</x:v>
      </x:c>
      <x:c r="D22" s="158" t="str">
        <x:v>GIS / address service</x:v>
      </x:c>
      <x:c r="E22" s="158" t="str">
        <x:v>PENDING</x:v>
      </x:c>
      <x:c r="F22" s="158" t="str">
        <x:v>Engine data / future app</x:v>
      </x:c>
      <x:c r="G22" s="158" t="str">
        <x:v>Authoritative source retained</x:v>
      </x:c>
      <x:c r="H22" s="81" t="str"/>
      <x:c r="I22" s="78"/>
      <x:c r="J22" s="78"/>
      <x:c r="K22" s="78"/>
    </x:row>
    <x:row r="23">
      <x:c r="B23" s="159" t="str">
        <x:v>Wind / Seismic / Rain</x:v>
      </x:c>
      <x:c r="C23" s="152" t="str">
        <x:v>Confirm source record</x:v>
      </x:c>
      <x:c r="D23" s="152" t="str">
        <x:v>ASCE/USGS/API</x:v>
      </x:c>
      <x:c r="E23" s="160" t="str">
        <x:v>PENDING</x:v>
      </x:c>
      <x:c r="F23" s="152" t="str">
        <x:v>02_CRITERIA / appendix</x:v>
      </x:c>
      <x:c r="G23" s="152" t="str">
        <x:v>Source + retrieval date required</x:v>
      </x:c>
      <x:c r="H23" s="78" t="str"/>
      <x:c r="I23" s="78"/>
      <x:c r="J23" s="78"/>
      <x:c r="K23" s="78"/>
    </x:row>
    <x:row r="24">
      <x:c r="B24" s="202" t="str">
        <x:v>Materials / Products</x:v>
      </x:c>
      <x:c r="C24" s="202" t="str">
        <x:v>Select product/system, not raw values</x:v>
      </x:c>
      <x:c r="D24" s="202" t="str">
        <x:v>NDS / SDPWS / ESR / manufacturer</x:v>
      </x:c>
      <x:c r="E24" s="202" t="str">
        <x:v>PENDING</x:v>
      </x:c>
      <x:c r="F24" s="202" t="str">
        <x:v>calculation modules</x:v>
      </x:c>
      <x:c r="G24" s="202" t="str">
        <x:v>Exact source record required</x:v>
      </x:c>
      <x:c r="H24" s="78" t="str"/>
      <x:c r="I24" s="78"/>
      <x:c r="J24" s="78"/>
      <x:c r="K24" s="78"/>
    </x:row>
    <x:row r="25">
      <x:c r="B25" s="471" t="str">
        <x:v>Drawing Revisions</x:v>
      </x:c>
      <x:c r="C25" s="471" t="str">
        <x:v>Approve proposed impact set</x:v>
      </x:c>
      <x:c r="D25" s="471" t="str">
        <x:v>Object dependencies / CAD API</x:v>
      </x:c>
      <x:c r="E25" s="471" t="str">
        <x:v>PENDING</x:v>
      </x:c>
      <x:c r="F25" s="471" t="str">
        <x:v>00_CHANGE_IMPACT</x:v>
      </x:c>
      <x:c r="G25" s="471" t="str">
        <x:v>Engineer/drafter approval before write-back</x:v>
      </x:c>
      <x:c r="H25" s="64" t="str"/>
      <x:c r="I25" s="78"/>
      <x:c r="J25" s="78"/>
      <x:c r="K25" s="78"/>
    </x:row>
    <x:row r="26">
      <x:c r="B26" s="78"/>
      <x:c r="C26" s="78"/>
      <x:c r="D26" s="78"/>
      <x:c r="E26" s="78"/>
      <x:c r="F26" s="78"/>
      <x:c r="G26" s="78"/>
      <x:c r="H26" s="78"/>
      <x:c r="I26" s="78"/>
      <x:c r="J26" s="78"/>
      <x:c r="K26" s="78"/>
    </x:row>
    <x:row r="27">
      <x:c r="B27" s="78"/>
      <x:c r="C27" s="78"/>
      <x:c r="D27" s="78"/>
      <x:c r="E27" s="78"/>
      <x:c r="F27" s="78"/>
      <x:c r="G27" s="78"/>
      <x:c r="H27" s="78"/>
      <x:c r="I27" s="78"/>
      <x:c r="J27" s="78"/>
      <x:c r="K27" s="78"/>
    </x:row>
    <x:row r="28">
      <x:c r="B28" s="473" t="str">
        <x:v>CORE PRODUCT RULE</x:v>
      </x:c>
      <x:c r="C28" s="473"/>
      <x:c r="D28" s="473"/>
      <x:c r="E28" s="473"/>
      <x:c r="F28" s="473"/>
      <x:c r="G28" s="473"/>
      <x:c r="H28" s="78"/>
      <x:c r="I28" s="78"/>
      <x:c r="J28" s="78"/>
      <x:c r="K28" s="78"/>
    </x:row>
    <x:row r="29">
      <x:c r="B29" s="476" t="str">
        <x:v>Humans work with building objects; the engine works with geometry. A reusable component represents everything required for the item to function—not merely how it looks. The workflow manages FUNCTION first, VERIFICATION second, and treats DESIGN DOCUMENTS as the synchronized by-product.</x:v>
      </x:c>
      <x:c r="C29" s="476"/>
      <x:c r="D29" s="476"/>
      <x:c r="E29" s="476"/>
      <x:c r="F29" s="476"/>
      <x:c r="G29" s="476"/>
      <x:c r="H29" s="78"/>
      <x:c r="I29" s="78"/>
      <x:c r="J29" s="78"/>
      <x:c r="K29" s="78"/>
    </x:row>
    <x:row r="30">
      <x:c r="B30" s="476"/>
      <x:c r="C30" s="476"/>
      <x:c r="D30" s="476"/>
      <x:c r="E30" s="476"/>
      <x:c r="F30" s="476"/>
      <x:c r="G30" s="476"/>
      <x:c r="H30" s="78"/>
      <x:c r="I30" s="78"/>
      <x:c r="J30" s="78"/>
      <x:c r="K30" s="78"/>
    </x:row>
    <x:row r="31">
      <x:c r="B31" s="476"/>
      <x:c r="C31" s="476"/>
      <x:c r="D31" s="476"/>
      <x:c r="E31" s="476"/>
      <x:c r="F31" s="476"/>
      <x:c r="G31" s="476"/>
      <x:c r="H31" s="78"/>
      <x:c r="I31" s="78"/>
      <x:c r="J31" s="78"/>
      <x:c r="K31" s="78"/>
    </x:row>
    <x:row r="32">
      <x:c r="B32" s="476"/>
      <x:c r="C32" s="476"/>
      <x:c r="D32" s="476"/>
      <x:c r="E32" s="476"/>
      <x:c r="F32" s="476"/>
      <x:c r="G32" s="476"/>
      <x:c r="H32" s="78"/>
      <x:c r="I32" s="78"/>
      <x:c r="J32" s="78"/>
      <x:c r="K32" s="78"/>
    </x:row>
    <x:row r="33">
      <x:c r="B33" s="78"/>
      <x:c r="C33" s="78"/>
      <x:c r="D33" s="78"/>
      <x:c r="E33" s="78"/>
      <x:c r="F33" s="78"/>
      <x:c r="G33" s="78"/>
      <x:c r="H33" s="78"/>
      <x:c r="I33" s="78"/>
      <x:c r="J33" s="78"/>
      <x:c r="K33" s="78"/>
    </x:row>
    <x:row r="34">
      <x:c r="B34" s="78"/>
      <x:c r="C34" s="78"/>
      <x:c r="D34" s="78"/>
      <x:c r="E34" s="78"/>
      <x:c r="F34" s="78"/>
      <x:c r="G34" s="78"/>
      <x:c r="H34" s="78"/>
      <x:c r="I34" s="78"/>
      <x:c r="J34" s="78"/>
      <x:c r="K34" s="78"/>
    </x:row>
    <x:row r="35">
      <x:c r="B35" s="473" t="str">
        <x:v>PACKAGE STATUS</x:v>
      </x:c>
      <x:c r="C35" s="473"/>
      <x:c r="D35" s="473"/>
      <x:c r="E35" s="473"/>
      <x:c r="F35" s="473"/>
      <x:c r="G35" s="473"/>
      <x:c r="H35" s="78"/>
      <x:c r="I35" s="78"/>
      <x:c r="J35" s="78"/>
      <x:c r="K35" s="78"/>
    </x:row>
    <x:row r="36">
      <x:c r="B36" s="480" t="str">
        <x:v>Layer</x:v>
      </x:c>
      <x:c r="C36" s="480" t="str">
        <x:v>Role</x:v>
      </x:c>
      <x:c r="D36" s="480" t="str">
        <x:v>Primary Output</x:v>
      </x:c>
      <x:c r="E36" s="480" t="str">
        <x:v>Verification</x:v>
      </x:c>
      <x:c r="F36" s="480" t="str">
        <x:v>Status</x:v>
      </x:c>
      <x:c r="G36" s="480" t="str">
        <x:v>Notes</x:v>
      </x:c>
      <x:c r="H36" s="78"/>
      <x:c r="I36" s="78"/>
      <x:c r="J36" s="78"/>
      <x:c r="K36" s="78"/>
    </x:row>
    <x:row r="37">
      <x:c r="B37" s="152" t="str">
        <x:v>Project Setup</x:v>
      </x:c>
      <x:c r="C37" s="152" t="str">
        <x:v>Only human decisions / confirmations</x:v>
      </x:c>
      <x:c r="D37" s="152" t="str">
        <x:v>Confirmed project model</x:v>
      </x:c>
      <x:c r="E37" s="152" t="str">
        <x:v>Approval gate</x:v>
      </x:c>
      <x:c r="F37" s="152" t="str">
        <x:v>ACTIVE</x:v>
      </x:c>
      <x:c r="G37" s="152" t="str">
        <x:v>Start here</x:v>
      </x:c>
      <x:c r="H37" s="78"/>
      <x:c r="I37" s="78"/>
      <x:c r="J37" s="78"/>
      <x:c r="K37" s="78"/>
    </x:row>
    <x:row r="38">
      <x:c r="B38" s="152" t="str">
        <x:v>Engine Data</x:v>
      </x:c>
      <x:c r="C38" s="152" t="str">
        <x:v>Backend values, sources, geometry and code lookups</x:v>
      </x:c>
      <x:c r="D38" s="152" t="str">
        <x:v>Calculation graph / XLSX</x:v>
      </x:c>
      <x:c r="E38" s="152" t="str">
        <x:v>Trace + QA</x:v>
      </x:c>
      <x:c r="F38" s="152" t="str">
        <x:v>ACTIVE</x:v>
      </x:c>
      <x:c r="G38" s="152" t="str">
        <x:v>01_INPUTS is backend; not normal data entry</x:v>
      </x:c>
      <x:c r="H38" s="78"/>
      <x:c r="I38" s="78"/>
      <x:c r="J38" s="78"/>
      <x:c r="K38" s="78"/>
    </x:row>
    <x:row r="39">
      <x:c r="B39" s="152" t="str">
        <x:v>Calculation Modules</x:v>
      </x:c>
      <x:c r="C39" s="152" t="str">
        <x:v>Function and capacity / demand checks</x:v>
      </x:c>
      <x:c r="D39" s="152" t="str">
        <x:v>Longhand + schedules</x:v>
      </x:c>
      <x:c r="E39" s="152" t="str">
        <x:v>Locked math benchmarks</x:v>
      </x:c>
      <x:c r="F39" s="152" t="str">
        <x:v>ACTIVE</x:v>
      </x:c>
      <x:c r="G39" s="152" t="str">
        <x:v>Wood gravity + lateral + connections + foundation</x:v>
      </x:c>
      <x:c r="H39" s="78"/>
      <x:c r="I39" s="78"/>
      <x:c r="J39" s="78"/>
      <x:c r="K39" s="78"/>
    </x:row>
    <x:row r="40">
      <x:c r="B40" s="152" t="str">
        <x:v>Object / Change Model</x:v>
      </x:c>
      <x:c r="C40" s="152" t="str">
        <x:v>Semantic object identity + dependencies</x:v>
      </x:c>
      <x:c r="D40" s="152" t="str">
        <x:v>Impact set</x:v>
      </x:c>
      <x:c r="E40" s="152" t="str">
        <x:v>Approval + reconciliation</x:v>
      </x:c>
      <x:c r="F40" s="152" t="str">
        <x:v>ACTIVE</x:v>
      </x:c>
      <x:c r="G40" s="152" t="str">
        <x:v>Specification for tomorrow's app</x:v>
      </x:c>
      <x:c r="H40" s="78"/>
      <x:c r="I40" s="78"/>
      <x:c r="J40" s="78"/>
      <x:c r="K40" s="78"/>
    </x:row>
    <x:row r="41">
      <x:c r="B41" s="152" t="str">
        <x:v>CAD Output</x:v>
      </x:c>
      <x:c r="C41" s="152" t="str">
        <x:v>Synchronized drawings / schedules / notes</x:v>
      </x:c>
      <x:c r="D41" s="152" t="str">
        <x:v>DWG + report views</x:v>
      </x:c>
      <x:c r="E41" s="152" t="str">
        <x:v>Drawing/model mismatch gate</x:v>
      </x:c>
      <x:c r="F41" s="152" t="str">
        <x:v>FRAMEWORK</x:v>
      </x:c>
      <x:c r="G41" s="152" t="str">
        <x:v>App/API implementation next</x:v>
      </x:c>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482" t="str">
        <x:v>Engineering aid / software specification only. Project-specific assumptions, source data, code applicability, product selection, and final design must be reviewed by the responsible licensed design professional before permit or construction use.</x:v>
      </x:c>
      <x:c r="C44" s="482"/>
      <x:c r="D44" s="482"/>
      <x:c r="E44" s="482"/>
      <x:c r="F44" s="482"/>
      <x:c r="G44" s="482"/>
      <x:c r="H44" s="78"/>
      <x:c r="I44" s="78"/>
      <x:c r="J44" s="78"/>
      <x:c r="K44" s="78"/>
    </x:row>
    <x:row r="45">
      <x:c r="B45" s="482"/>
      <x:c r="C45" s="482"/>
      <x:c r="D45" s="482"/>
      <x:c r="E45" s="482"/>
      <x:c r="F45" s="482"/>
      <x:c r="G45" s="482"/>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649" t="str">
        <x:v>CURRENT BUILD: v11 — app handoff specification + object key + cost-ready assembly examples</x:v>
      </x:c>
      <x:c r="C48" s="649"/>
      <x:c r="D48" s="649"/>
      <x:c r="E48" s="649"/>
      <x:c r="F48" s="649"/>
      <x:c r="G48" s="649"/>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H3"/>
    <x:mergeCell ref="B4:H4"/>
    <x:mergeCell ref="B6:C6"/>
    <x:mergeCell ref="E6:H6"/>
    <x:mergeCell ref="B17:H20"/>
    <x:mergeCell ref="B20:G20"/>
    <x:mergeCell ref="B2:G2"/>
    <x:mergeCell ref="B4:G4"/>
    <x:mergeCell ref="E6:F6"/>
    <x:mergeCell ref="B19:G19"/>
    <x:mergeCell ref="B28:G28"/>
    <x:mergeCell ref="B29:G32"/>
    <x:mergeCell ref="B35:G35"/>
    <x:mergeCell ref="B44:G45"/>
    <x:mergeCell ref="B48:G48"/>
  </x:mergeCells>
  <x:conditionalFormatting sqref="F8:F12">
    <x:cfRule type="expression" dxfId="0" priority="1">
      <x:formula>F8="PASS"</x:formula>
    </x:cfRule>
    <x:cfRule type="expression" dxfId="1" priority="2">
      <x:formula>OR(F8="REVIEW",F8="INCOMPLETE",F8="PENDING",F8="MISSING")</x:formula>
    </x:cfRule>
    <x:cfRule type="expression" dxfId="2" priority="3">
      <x:formula>OR(F8="FAIL",F8="ERROR")</x:formula>
    </x:cfRule>
  </x:conditionalFormatting>
  <x:dataValidations count="8">
    <x:dataValidation type="list" sqref="F7">
      <x:formula1>"CBC,CRC"</x:formula1>
    </x:dataValidation>
    <x:dataValidation type="list" sqref="F9">
      <x:formula1>"I,II,III,IV"</x:formula1>
    </x:dataValidation>
    <x:dataValidation type="list" sqref="F11">
      <x:formula1>"ASD,LRFD"</x:formula1>
    </x:dataValidation>
    <x:dataValidation type="list" sqref="F12">
      <x:formula1>"WOOD LIGHT-FRAME SHEAR WALLS,OTHER / PROJECT-SPECIFIC"</x:formula1>
    </x:dataValidation>
    <x:dataValidation type="list" sqref="F13">
      <x:formula1>"SPREAD FOOTINGS,CONTINUOUS / STRIP,SLAB / MAT,OTHER"</x:formula1>
    </x:dataValidation>
    <x:dataValidation type="list" sqref="F14">
      <x:formula1>"UPLOADED,NOT AVAILABLE,PENDING"</x:formula1>
    </x:dataValidation>
    <x:dataValidation type="list" sqref="F15">
      <x:formula1>"DWG / DXF,PDF ONLY,MODEL / OTHER,NOT LOADED"</x:formula1>
    </x:dataValidation>
    <x:dataValidation type="list" sqref="F16">
      <x:formula1>"PENDING,CONFIRMED"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2" max="2" width="38" hidden="0" customWidth="1"/>
    <x:col min="3" max="3" width="22" hidden="0" customWidth="1"/>
    <x:col min="4" max="4" width="12" hidden="0" customWidth="1"/>
    <x:col min="5" max="5" width="5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ENGINE DATA / BACKEND STORE — NOT NORMAL USER ENTRY</x:v>
      </x:c>
      <x:c r="C2" s="79"/>
      <x:c r="D2" s="79"/>
      <x:c r="E2" s="79"/>
      <x:c r="F2" s="79"/>
      <x:c r="G2" s="78"/>
      <x:c r="H2" s="78"/>
      <x:c r="I2" s="78"/>
      <x:c r="J2" s="78"/>
      <x:c r="K2" s="78"/>
    </x:row>
    <x:row r="3">
      <x:c r="B3" s="79"/>
      <x:c r="C3" s="79"/>
      <x:c r="D3" s="79"/>
      <x:c r="E3" s="79"/>
      <x:c r="F3" s="79"/>
      <x:c r="G3" s="78"/>
      <x:c r="H3" s="78"/>
      <x:c r="I3" s="78"/>
      <x:c r="J3" s="78"/>
      <x:c r="K3" s="78"/>
    </x:row>
    <x:row r="4">
      <x:c r="B4" s="484" t="str">
        <x:v>Backend calculation schema. Normal workflow: human decisions are entered on 00_COVER; geometry is confirmed on 00_CAD_CONFIRM; GIS/API/code/product libraries populate the remaining values. Direct edits here are for engine debugging or controlled overrides only.</x:v>
      </x:c>
      <x:c r="C4" s="484"/>
      <x:c r="D4" s="484"/>
      <x:c r="E4" s="484"/>
      <x:c r="F4" s="64"/>
      <x:c r="G4" s="78"/>
      <x:c r="H4" s="78"/>
      <x:c r="I4" s="78"/>
      <x:c r="J4" s="78"/>
      <x:c r="K4" s="78"/>
    </x:row>
    <x:row r="5">
      <x:c r="B5" s="81" t="str">
        <x:v>A. PROJECT INFORMATION</x:v>
      </x:c>
      <x:c r="C5" s="81"/>
      <x:c r="D5" s="81"/>
      <x:c r="E5" s="81"/>
      <x:c r="F5" s="81"/>
      <x:c r="G5" s="78"/>
      <x:c r="H5" s="78"/>
      <x:c r="I5" s="78"/>
      <x:c r="J5" s="78"/>
      <x:c r="K5" s="78"/>
    </x:row>
    <x:row r="6">
      <x:c r="B6" s="82" t="str">
        <x:v>Project Name</x:v>
      </x:c>
      <x:c r="C6" s="509" t="str">
        <x:f>IF('00_COVER'!C7="","",'00_COVER'!C7)</x:f>
      </x:c>
      <x:c r="D6" s="78" t="str"/>
      <x:c r="E6" s="64" t="str">
        <x:v>Text</x:v>
      </x:c>
      <x:c r="F6" s="78"/>
      <x:c r="G6" s="78"/>
      <x:c r="H6" s="78"/>
      <x:c r="I6" s="78"/>
      <x:c r="J6" s="78"/>
      <x:c r="K6" s="78"/>
    </x:row>
    <x:row r="7">
      <x:c r="B7" s="82" t="str">
        <x:v>Project Address</x:v>
      </x:c>
      <x:c r="C7" s="509" t="str">
        <x:f>IF('00_COVER'!C8="","",'00_COVER'!C8)</x:f>
      </x:c>
      <x:c r="D7" s="78" t="str"/>
      <x:c r="E7" s="64" t="str">
        <x:v>Street / site</x:v>
      </x:c>
      <x:c r="F7" s="78"/>
      <x:c r="G7" s="78"/>
      <x:c r="H7" s="78"/>
      <x:c r="I7" s="78"/>
      <x:c r="J7" s="78"/>
      <x:c r="K7" s="78"/>
    </x:row>
    <x:row r="8">
      <x:c r="B8" s="82" t="str">
        <x:v>City</x:v>
      </x:c>
      <x:c r="C8" s="485" t="str"/>
      <x:c r="D8" s="78" t="str"/>
      <x:c r="E8" s="64" t="str">
        <x:v>City</x:v>
      </x:c>
      <x:c r="F8" s="78"/>
      <x:c r="G8" s="78"/>
      <x:c r="H8" s="78"/>
      <x:c r="I8" s="78"/>
      <x:c r="J8" s="78"/>
      <x:c r="K8" s="78"/>
    </x:row>
    <x:row r="9">
      <x:c r="B9" s="82" t="str">
        <x:v>County</x:v>
      </x:c>
      <x:c r="C9" s="485" t="str"/>
      <x:c r="D9" s="78" t="str"/>
      <x:c r="E9" s="64" t="str">
        <x:v>County</x:v>
      </x:c>
      <x:c r="F9" s="78"/>
      <x:c r="G9" s="78"/>
      <x:c r="H9" s="78"/>
      <x:c r="I9" s="78"/>
      <x:c r="J9" s="78"/>
      <x:c r="K9" s="78"/>
    </x:row>
    <x:row r="10">
      <x:c r="B10" s="82" t="str">
        <x:v>Jurisdiction / AHJ</x:v>
      </x:c>
      <x:c r="C10" s="485" t="str"/>
      <x:c r="D10" s="78" t="str"/>
      <x:c r="E10" s="64" t="str">
        <x:v>City / County</x:v>
      </x:c>
      <x:c r="F10" s="78"/>
      <x:c r="G10" s="78"/>
      <x:c r="H10" s="78"/>
      <x:c r="I10" s="78"/>
      <x:c r="J10" s="78"/>
      <x:c r="K10" s="78"/>
    </x:row>
    <x:row r="11">
      <x:c r="B11" s="82" t="str">
        <x:v>APN / Parcel</x:v>
      </x:c>
      <x:c r="C11" s="485" t="str"/>
      <x:c r="D11" s="78" t="str"/>
      <x:c r="E11" s="64" t="str">
        <x:v>Optional</x:v>
      </x:c>
      <x:c r="F11" s="78"/>
      <x:c r="G11" s="78"/>
      <x:c r="H11" s="78"/>
      <x:c r="I11" s="78"/>
      <x:c r="J11" s="78"/>
      <x:c r="K11" s="78"/>
    </x:row>
    <x:row r="12">
      <x:c r="B12" s="82" t="str">
        <x:v>Prepared For</x:v>
      </x:c>
      <x:c r="C12" s="509" t="str">
        <x:f>IF('00_COVER'!C9="","",'00_COVER'!C9)</x:f>
      </x:c>
      <x:c r="D12" s="78" t="str"/>
      <x:c r="E12" s="64" t="str">
        <x:v>Owner / client</x:v>
      </x:c>
      <x:c r="F12" s="78"/>
      <x:c r="G12" s="78"/>
      <x:c r="H12" s="78"/>
      <x:c r="I12" s="78"/>
      <x:c r="J12" s="78"/>
      <x:c r="K12" s="78"/>
    </x:row>
    <x:row r="13">
      <x:c r="B13" s="82" t="str">
        <x:v>Prepared By</x:v>
      </x:c>
      <x:c r="C13" s="509" t="str">
        <x:f>IF('00_COVER'!C10="","",'00_COVER'!C10)</x:f>
      </x:c>
      <x:c r="D13" s="78" t="str"/>
      <x:c r="E13" s="64" t="str">
        <x:v>Firm / designer</x:v>
      </x:c>
      <x:c r="F13" s="78"/>
      <x:c r="G13" s="78"/>
      <x:c r="H13" s="78"/>
      <x:c r="I13" s="78"/>
      <x:c r="J13" s="78"/>
      <x:c r="K13" s="78"/>
    </x:row>
    <x:row r="14">
      <x:c r="B14" s="82" t="str">
        <x:v>Project No.</x:v>
      </x:c>
      <x:c r="C14" s="509" t="str">
        <x:f>IF('00_COVER'!C11="","",'00_COVER'!C11)</x:f>
      </x:c>
      <x:c r="D14" s="78" t="str"/>
      <x:c r="E14" s="64" t="str">
        <x:v>Internal tracking</x:v>
      </x:c>
      <x:c r="F14" s="78"/>
      <x:c r="G14" s="78"/>
      <x:c r="H14" s="78"/>
      <x:c r="I14" s="78"/>
      <x:c r="J14" s="78"/>
      <x:c r="K14" s="78"/>
    </x:row>
    <x:row r="15">
      <x:c r="B15" s="82" t="str">
        <x:v>Package Date</x:v>
      </x:c>
      <x:c r="C15" s="510" t="str">
        <x:f>IF('00_COVER'!C12="","",'00_COVER'!C12)</x:f>
      </x:c>
      <x:c r="D15" s="78" t="str"/>
      <x:c r="E15" s="64" t="str">
        <x:v>mm/dd/yyyy</x:v>
      </x:c>
      <x:c r="F15" s="78"/>
      <x:c r="G15" s="78"/>
      <x:c r="H15" s="78"/>
      <x:c r="I15" s="78"/>
      <x:c r="J15" s="78"/>
      <x:c r="K15" s="78"/>
    </x:row>
    <x:row r="16">
      <x:c r="B16" s="78"/>
      <x:c r="C16" s="487"/>
      <x:c r="D16" s="78"/>
      <x:c r="E16" s="78"/>
      <x:c r="F16" s="78"/>
      <x:c r="G16" s="78"/>
      <x:c r="H16" s="78"/>
      <x:c r="I16" s="78"/>
      <x:c r="J16" s="78"/>
      <x:c r="K16" s="78"/>
    </x:row>
    <x:row r="17">
      <x:c r="B17" s="81" t="str">
        <x:v>B. CODE &amp; DESIGN CLASSIFICATION</x:v>
      </x:c>
      <x:c r="C17" s="488"/>
      <x:c r="D17" s="81"/>
      <x:c r="E17" s="81"/>
      <x:c r="F17" s="81"/>
      <x:c r="G17" s="78"/>
      <x:c r="H17" s="78"/>
      <x:c r="I17" s="78"/>
      <x:c r="J17" s="78"/>
      <x:c r="K17" s="78"/>
    </x:row>
    <x:row r="18">
      <x:c r="B18" s="82" t="str">
        <x:v>Code Path</x:v>
      </x:c>
      <x:c r="C18" s="509" t="str">
        <x:f>IF('00_COVER'!F7="","",'00_COVER'!F7)</x:f>
      </x:c>
      <x:c r="D18" s="78" t="str"/>
      <x:c r="E18" s="78" t="str">
        <x:v>CBC or CRC</x:v>
      </x:c>
      <x:c r="F18" s="78"/>
      <x:c r="G18" s="78"/>
      <x:c r="H18" s="78"/>
      <x:c r="I18" s="78"/>
      <x:c r="J18" s="78"/>
      <x:c r="K18" s="78"/>
    </x:row>
    <x:row r="19">
      <x:c r="B19" s="82" t="str">
        <x:v>Risk Category</x:v>
      </x:c>
      <x:c r="C19" s="509" t="str">
        <x:f>IF('00_COVER'!F9="","",'00_COVER'!F9)</x:f>
      </x:c>
      <x:c r="D19" s="78" t="str"/>
      <x:c r="E19" s="78" t="str">
        <x:v>ASCE 7 / CBC</x:v>
      </x:c>
      <x:c r="F19" s="78"/>
      <x:c r="G19" s="78"/>
      <x:c r="H19" s="78"/>
      <x:c r="I19" s="78"/>
      <x:c r="J19" s="78"/>
      <x:c r="K19" s="78"/>
    </x:row>
    <x:row r="20">
      <x:c r="B20" s="82" t="str">
        <x:v>Design Method</x:v>
      </x:c>
      <x:c r="C20" s="509" t="str">
        <x:f>IF('00_COVER'!F11="","",'00_COVER'!F11)</x:f>
      </x:c>
      <x:c r="D20" s="78" t="str"/>
      <x:c r="E20" s="78" t="str">
        <x:v>ASD or LRFD</x:v>
      </x:c>
      <x:c r="F20" s="78"/>
      <x:c r="G20" s="78"/>
      <x:c r="H20" s="78"/>
      <x:c r="I20" s="78"/>
      <x:c r="J20" s="78"/>
      <x:c r="K20" s="78"/>
    </x:row>
    <x:row r="21">
      <x:c r="B21" s="82" t="str">
        <x:v>Occupancy / Use</x:v>
      </x:c>
      <x:c r="C21" s="509" t="str">
        <x:f>IF('00_COVER'!F8="","",'00_COVER'!F8)</x:f>
      </x:c>
      <x:c r="D21" s="78" t="str"/>
      <x:c r="E21" s="78" t="str">
        <x:v>Project-specific</x:v>
      </x:c>
      <x:c r="F21" s="78"/>
      <x:c r="G21" s="78"/>
      <x:c r="H21" s="78"/>
      <x:c r="I21" s="78"/>
      <x:c r="J21" s="78"/>
      <x:c r="K21" s="78"/>
    </x:row>
    <x:row r="22">
      <x:c r="B22" s="82" t="str">
        <x:v>Site Class</x:v>
      </x:c>
      <x:c r="C22" s="485" t="str"/>
      <x:c r="D22" s="78" t="str"/>
      <x:c r="E22" s="78" t="str">
        <x:v>Verify geotechnical basis</x:v>
      </x:c>
      <x:c r="F22" s="78"/>
      <x:c r="G22" s="78"/>
      <x:c r="H22" s="78"/>
      <x:c r="I22" s="78"/>
      <x:c r="J22" s="78"/>
      <x:c r="K22" s="78"/>
    </x:row>
    <x:row r="23">
      <x:c r="B23" s="82" t="str">
        <x:v>Stories</x:v>
      </x:c>
      <x:c r="C23" s="509" t="str">
        <x:f>IF('00_COVER'!F10="","",'00_COVER'!F10)</x:f>
      </x:c>
      <x:c r="D23" s="78" t="str"/>
      <x:c r="E23" s="78" t="str">
        <x:v>Count</x:v>
      </x:c>
      <x:c r="F23" s="78"/>
      <x:c r="G23" s="78"/>
      <x:c r="H23" s="78"/>
      <x:c r="I23" s="78"/>
      <x:c r="J23" s="78"/>
      <x:c r="K23" s="78"/>
    </x:row>
    <x:row r="24">
      <x:c r="B24" s="78"/>
      <x:c r="C24" s="487"/>
      <x:c r="D24" s="78"/>
      <x:c r="E24" s="78"/>
      <x:c r="F24" s="78"/>
      <x:c r="G24" s="78"/>
      <x:c r="H24" s="78"/>
      <x:c r="I24" s="78"/>
      <x:c r="J24" s="78"/>
      <x:c r="K24" s="78"/>
    </x:row>
    <x:row r="25">
      <x:c r="B25" s="81" t="str">
        <x:v>C. BUILDING / MEMBER GEOMETRY</x:v>
      </x:c>
      <x:c r="C25" s="488"/>
      <x:c r="D25" s="81"/>
      <x:c r="E25" s="81"/>
      <x:c r="F25" s="81"/>
      <x:c r="G25" s="78"/>
      <x:c r="H25" s="78"/>
      <x:c r="I25" s="78"/>
      <x:c r="J25" s="78"/>
      <x:c r="K25" s="78"/>
    </x:row>
    <x:row r="26">
      <x:c r="B26" s="82" t="str">
        <x:v>Building Length</x:v>
      </x:c>
      <x:c r="C26" s="531" t="str">
        <x:f>IF('00_CAD_CONFIRM'!K7="","",'00_CAD_CONFIRM'!K7)</x:f>
      </x:c>
      <x:c r="D26" s="78" t="str">
        <x:v>ft</x:v>
      </x:c>
      <x:c r="E26" s="78" t="str">
        <x:v>Overall plan dimension</x:v>
      </x:c>
      <x:c r="F26" s="78"/>
      <x:c r="G26" s="78"/>
      <x:c r="H26" s="78"/>
      <x:c r="I26" s="78"/>
      <x:c r="J26" s="78"/>
      <x:c r="K26" s="78"/>
    </x:row>
    <x:row r="27">
      <x:c r="B27" s="82" t="str">
        <x:v>Building Width</x:v>
      </x:c>
      <x:c r="C27" s="531" t="str">
        <x:f>IF('00_CAD_CONFIRM'!K8="","",'00_CAD_CONFIRM'!K8)</x:f>
      </x:c>
      <x:c r="D27" s="78" t="str">
        <x:v>ft</x:v>
      </x:c>
      <x:c r="E27" s="78" t="str">
        <x:v>Overall plan dimension</x:v>
      </x:c>
      <x:c r="F27" s="78"/>
      <x:c r="G27" s="78"/>
      <x:c r="H27" s="78"/>
      <x:c r="I27" s="78"/>
      <x:c r="J27" s="78"/>
      <x:c r="K27" s="78"/>
    </x:row>
    <x:row r="28">
      <x:c r="B28" s="82" t="str">
        <x:v>Mean Roof Height</x:v>
      </x:c>
      <x:c r="C28" s="531" t="str">
        <x:f>IF('00_CAD_CONFIRM'!K9="","",'00_CAD_CONFIRM'!K9)</x:f>
      </x:c>
      <x:c r="D28" s="78" t="str">
        <x:v>ft</x:v>
      </x:c>
      <x:c r="E28" s="78" t="str">
        <x:v>Wind / geometry</x:v>
      </x:c>
      <x:c r="F28" s="78"/>
      <x:c r="G28" s="78"/>
      <x:c r="H28" s="78"/>
      <x:c r="I28" s="78"/>
      <x:c r="J28" s="78"/>
      <x:c r="K28" s="78"/>
    </x:row>
    <x:row r="29">
      <x:c r="B29" s="82" t="str">
        <x:v>Typical Floor Height</x:v>
      </x:c>
      <x:c r="C29" s="531" t="str">
        <x:f>IF('00_CAD_CONFIRM'!K10="","",'00_CAD_CONFIRM'!K10)</x:f>
      </x:c>
      <x:c r="D29" s="78" t="str">
        <x:v>ft</x:v>
      </x:c>
      <x:c r="E29" s="78" t="str">
        <x:v>Story height</x:v>
      </x:c>
      <x:c r="F29" s="78"/>
      <x:c r="G29" s="78"/>
      <x:c r="H29" s="78"/>
      <x:c r="I29" s="78"/>
      <x:c r="J29" s="78"/>
      <x:c r="K29" s="78"/>
    </x:row>
    <x:row r="30">
      <x:c r="B30" s="82" t="str">
        <x:v>Beam Span</x:v>
      </x:c>
      <x:c r="C30" s="531" t="str">
        <x:f>IF('00_CAD_CONFIRM'!K11="","",'00_CAD_CONFIRM'!K11)</x:f>
      </x:c>
      <x:c r="D30" s="78" t="str">
        <x:v>ft</x:v>
      </x:c>
      <x:c r="E30" s="78" t="str">
        <x:v>Gravity module</x:v>
      </x:c>
      <x:c r="F30" s="78"/>
      <x:c r="G30" s="78"/>
      <x:c r="H30" s="78"/>
      <x:c r="I30" s="78"/>
      <x:c r="J30" s="78"/>
      <x:c r="K30" s="78"/>
    </x:row>
    <x:row r="31">
      <x:c r="B31" s="82" t="str">
        <x:v>Beam Tributary Width</x:v>
      </x:c>
      <x:c r="C31" s="531" t="str">
        <x:f>IF('00_CAD_CONFIRM'!K12="","",'00_CAD_CONFIRM'!K12)</x:f>
      </x:c>
      <x:c r="D31" s="78" t="str">
        <x:v>ft</x:v>
      </x:c>
      <x:c r="E31" s="78" t="str">
        <x:v>Gravity module</x:v>
      </x:c>
      <x:c r="F31" s="78"/>
      <x:c r="G31" s="78"/>
      <x:c r="H31" s="78"/>
      <x:c r="I31" s="78"/>
      <x:c r="J31" s="78"/>
      <x:c r="K31" s="78"/>
    </x:row>
    <x:row r="32">
      <x:c r="B32" s="82" t="str">
        <x:v>Beam Actual Width b</x:v>
      </x:c>
      <x:c r="C32" s="531" t="str">
        <x:f>IF('00_CAD_CONFIRM'!K13="","",'00_CAD_CONFIRM'!K13)</x:f>
      </x:c>
      <x:c r="D32" s="78" t="str">
        <x:v>in</x:v>
      </x:c>
      <x:c r="E32" s="78" t="str">
        <x:v>Wood section</x:v>
      </x:c>
      <x:c r="F32" s="78"/>
      <x:c r="G32" s="78"/>
      <x:c r="H32" s="78"/>
      <x:c r="I32" s="78"/>
      <x:c r="J32" s="78"/>
      <x:c r="K32" s="78"/>
    </x:row>
    <x:row r="33">
      <x:c r="B33" s="82" t="str">
        <x:v>Beam Actual Depth d</x:v>
      </x:c>
      <x:c r="C33" s="531" t="str">
        <x:f>IF('00_CAD_CONFIRM'!K14="","",'00_CAD_CONFIRM'!K14)</x:f>
      </x:c>
      <x:c r="D33" s="78" t="str">
        <x:v>in</x:v>
      </x:c>
      <x:c r="E33" s="78" t="str">
        <x:v>Wood section</x:v>
      </x:c>
      <x:c r="F33" s="78"/>
      <x:c r="G33" s="78"/>
      <x:c r="H33" s="78"/>
      <x:c r="I33" s="78"/>
      <x:c r="J33" s="78"/>
      <x:c r="K33" s="78"/>
    </x:row>
    <x:row r="34">
      <x:c r="B34" s="82" t="str">
        <x:v>Service Deflection Limit</x:v>
      </x:c>
      <x:c r="C34" s="489" t="str"/>
      <x:c r="D34" s="78" t="str">
        <x:v>L/x</x:v>
      </x:c>
      <x:c r="E34" s="78" t="str">
        <x:v>e.g., 240 or 360</x:v>
      </x:c>
      <x:c r="F34" s="78"/>
      <x:c r="G34" s="78"/>
      <x:c r="H34" s="78"/>
      <x:c r="I34" s="78"/>
      <x:c r="J34" s="78"/>
      <x:c r="K34" s="78"/>
    </x:row>
    <x:row r="35">
      <x:c r="B35" s="78"/>
      <x:c r="C35" s="487"/>
      <x:c r="D35" s="78"/>
      <x:c r="E35" s="78"/>
      <x:c r="F35" s="78"/>
      <x:c r="G35" s="78"/>
      <x:c r="H35" s="78"/>
      <x:c r="I35" s="78"/>
      <x:c r="J35" s="78"/>
      <x:c r="K35" s="78"/>
    </x:row>
    <x:row r="36">
      <x:c r="B36" s="81" t="str">
        <x:v>D. GRAVITY LOAD INPUTS</x:v>
      </x:c>
      <x:c r="C36" s="488"/>
      <x:c r="D36" s="81"/>
      <x:c r="E36" s="81"/>
      <x:c r="F36" s="81"/>
      <x:c r="G36" s="78"/>
      <x:c r="H36" s="78"/>
      <x:c r="I36" s="78"/>
      <x:c r="J36" s="78"/>
      <x:c r="K36" s="78"/>
    </x:row>
    <x:row r="37">
      <x:c r="B37" s="82" t="str">
        <x:v>Roof Dead Load</x:v>
      </x:c>
      <x:c r="C37" s="489" t="str"/>
      <x:c r="D37" s="78" t="str">
        <x:v>psf</x:v>
      </x:c>
      <x:c r="E37" s="78" t="str">
        <x:v>Include self-weight as appropriate</x:v>
      </x:c>
      <x:c r="F37" s="78"/>
      <x:c r="G37" s="78"/>
      <x:c r="H37" s="78"/>
      <x:c r="I37" s="78"/>
      <x:c r="J37" s="78"/>
      <x:c r="K37" s="78"/>
    </x:row>
    <x:row r="38">
      <x:c r="B38" s="82" t="str">
        <x:v>Roof Live Load</x:v>
      </x:c>
      <x:c r="C38" s="489" t="str"/>
      <x:c r="D38" s="78" t="str">
        <x:v>psf</x:v>
      </x:c>
      <x:c r="E38" s="78" t="str">
        <x:v>CBC / ASCE 7 criteria</x:v>
      </x:c>
      <x:c r="F38" s="78"/>
      <x:c r="G38" s="78"/>
      <x:c r="H38" s="78"/>
      <x:c r="I38" s="78"/>
      <x:c r="J38" s="78"/>
      <x:c r="K38" s="78"/>
    </x:row>
    <x:row r="39">
      <x:c r="B39" s="82" t="str">
        <x:v>Floor Dead Load</x:v>
      </x:c>
      <x:c r="C39" s="489" t="str"/>
      <x:c r="D39" s="78" t="str">
        <x:v>psf</x:v>
      </x:c>
      <x:c r="E39" s="78" t="str">
        <x:v>Project-specific</x:v>
      </x:c>
      <x:c r="F39" s="78"/>
      <x:c r="G39" s="78"/>
      <x:c r="H39" s="78"/>
      <x:c r="I39" s="78"/>
      <x:c r="J39" s="78"/>
      <x:c r="K39" s="78"/>
    </x:row>
    <x:row r="40">
      <x:c r="B40" s="82" t="str">
        <x:v>Floor Live Load</x:v>
      </x:c>
      <x:c r="C40" s="489" t="str"/>
      <x:c r="D40" s="78" t="str">
        <x:v>psf</x:v>
      </x:c>
      <x:c r="E40" s="78" t="str">
        <x:v>CBC / ASCE 7 criteria</x:v>
      </x:c>
      <x:c r="F40" s="78"/>
      <x:c r="G40" s="78"/>
      <x:c r="H40" s="78"/>
      <x:c r="I40" s="78"/>
      <x:c r="J40" s="78"/>
      <x:c r="K40" s="78"/>
    </x:row>
    <x:row r="41">
      <x:c r="B41" s="82" t="str">
        <x:v>Ground Snow Load pg</x:v>
      </x:c>
      <x:c r="C41" s="489" t="str"/>
      <x:c r="D41" s="78" t="str">
        <x:v>psf</x:v>
      </x:c>
      <x:c r="E41" s="78" t="str">
        <x:v>AHJ / ASCE 7-22 hazard data</x:v>
      </x:c>
      <x:c r="F41" s="78"/>
      <x:c r="G41" s="78"/>
      <x:c r="H41" s="78"/>
      <x:c r="I41" s="78"/>
      <x:c r="J41" s="78"/>
      <x:c r="K41" s="78"/>
    </x:row>
    <x:row r="42">
      <x:c r="B42" s="78"/>
      <x:c r="C42" s="490"/>
      <x:c r="D42" s="78"/>
      <x:c r="E42" s="78"/>
      <x:c r="F42" s="78"/>
      <x:c r="G42" s="78"/>
      <x:c r="H42" s="78"/>
      <x:c r="I42" s="78"/>
      <x:c r="J42" s="78"/>
      <x:c r="K42" s="78"/>
    </x:row>
    <x:row r="43">
      <x:c r="B43" s="81" t="str">
        <x:v>E. WIND INPUTS</x:v>
      </x:c>
      <x:c r="C43" s="491"/>
      <x:c r="D43" s="81"/>
      <x:c r="E43" s="81"/>
      <x:c r="F43" s="81"/>
      <x:c r="G43" s="78"/>
      <x:c r="H43" s="78"/>
      <x:c r="I43" s="78"/>
      <x:c r="J43" s="78"/>
      <x:c r="K43" s="78"/>
    </x:row>
    <x:row r="44">
      <x:c r="B44" s="82" t="str">
        <x:v>Basic Wind Speed Vult</x:v>
      </x:c>
      <x:c r="C44" s="489" t="str"/>
      <x:c r="D44" s="78" t="str">
        <x:v>mph</x:v>
      </x:c>
      <x:c r="E44" s="78" t="str">
        <x:v>ASCE 7-22 / AHJ</x:v>
      </x:c>
      <x:c r="F44" s="78"/>
      <x:c r="G44" s="78"/>
      <x:c r="H44" s="78"/>
      <x:c r="I44" s="78"/>
      <x:c r="J44" s="78"/>
      <x:c r="K44" s="78"/>
    </x:row>
    <x:row r="45">
      <x:c r="B45" s="82" t="str">
        <x:v>Exposure Category</x:v>
      </x:c>
      <x:c r="C45" s="489" t="str"/>
      <x:c r="D45" s="78" t="str"/>
      <x:c r="E45" s="78" t="str">
        <x:v>B, C, or D</x:v>
      </x:c>
      <x:c r="F45" s="78"/>
      <x:c r="G45" s="78"/>
      <x:c r="H45" s="78"/>
      <x:c r="I45" s="78"/>
      <x:c r="J45" s="78"/>
      <x:c r="K45" s="78"/>
    </x:row>
    <x:row r="46">
      <x:c r="B46" s="82" t="str">
        <x:v>Kzt</x:v>
      </x:c>
      <x:c r="C46" s="489" t="str"/>
      <x:c r="D46" s="78" t="str"/>
      <x:c r="E46" s="78" t="str">
        <x:v>Topographic factor</x:v>
      </x:c>
      <x:c r="F46" s="78"/>
      <x:c r="G46" s="78"/>
      <x:c r="H46" s="78"/>
      <x:c r="I46" s="78"/>
      <x:c r="J46" s="78"/>
      <x:c r="K46" s="78"/>
    </x:row>
    <x:row r="47">
      <x:c r="B47" s="82" t="str">
        <x:v>Kd (Wind Directionality)</x:v>
      </x:c>
      <x:c r="C47" s="489" t="str"/>
      <x:c r="D47" s="78" t="str"/>
      <x:c r="E47" s="78" t="str">
        <x:v>ASCE 7-22: applied in pressure/force equation, not velocity pressure</x:v>
      </x:c>
      <x:c r="F47" s="78"/>
      <x:c r="G47" s="78"/>
      <x:c r="H47" s="78"/>
      <x:c r="I47" s="78"/>
      <x:c r="J47" s="78"/>
      <x:c r="K47" s="78"/>
    </x:row>
    <x:row r="48">
      <x:c r="B48" s="78"/>
      <x:c r="C48" s="487"/>
      <x:c r="D48" s="78"/>
      <x:c r="E48" s="78"/>
      <x:c r="F48" s="78"/>
      <x:c r="G48" s="78"/>
      <x:c r="H48" s="78"/>
      <x:c r="I48" s="78"/>
      <x:c r="J48" s="78"/>
      <x:c r="K48" s="78"/>
    </x:row>
    <x:row r="49">
      <x:c r="B49" s="81" t="str">
        <x:v>F. SEISMIC / SITE INPUTS</x:v>
      </x:c>
      <x:c r="C49" s="488"/>
      <x:c r="D49" s="81"/>
      <x:c r="E49" s="81"/>
      <x:c r="F49" s="81"/>
      <x:c r="G49" s="78"/>
      <x:c r="H49" s="78"/>
      <x:c r="I49" s="78"/>
      <x:c r="J49" s="78"/>
      <x:c r="K49" s="78"/>
    </x:row>
    <x:row r="50">
      <x:c r="B50" s="82" t="str">
        <x:v>Latitude</x:v>
      </x:c>
      <x:c r="C50" s="492" t="str"/>
      <x:c r="D50" s="78" t="str">
        <x:v>decimal °</x:v>
      </x:c>
      <x:c r="E50" s="78" t="str">
        <x:v>Project coordinates</x:v>
      </x:c>
      <x:c r="F50" s="78"/>
      <x:c r="G50" s="78"/>
      <x:c r="H50" s="78"/>
      <x:c r="I50" s="78"/>
      <x:c r="J50" s="78"/>
      <x:c r="K50" s="78"/>
    </x:row>
    <x:row r="51">
      <x:c r="B51" s="82" t="str">
        <x:v>Longitude</x:v>
      </x:c>
      <x:c r="C51" s="492" t="str"/>
      <x:c r="D51" s="78" t="str">
        <x:v>decimal °</x:v>
      </x:c>
      <x:c r="E51" s="78" t="str">
        <x:v>Project coordinates</x:v>
      </x:c>
      <x:c r="F51" s="78"/>
      <x:c r="G51" s="78"/>
      <x:c r="H51" s="78"/>
      <x:c r="I51" s="78"/>
      <x:c r="J51" s="78"/>
      <x:c r="K51" s="78"/>
    </x:row>
    <x:row r="52">
      <x:c r="B52" s="82" t="str">
        <x:v>SDS</x:v>
      </x:c>
      <x:c r="C52" s="492" t="str"/>
      <x:c r="D52" s="78" t="str">
        <x:v>g</x:v>
      </x:c>
      <x:c r="E52" s="78" t="str">
        <x:v>USGS / ASCE 7-22</x:v>
      </x:c>
      <x:c r="F52" s="78"/>
      <x:c r="G52" s="78"/>
      <x:c r="H52" s="78"/>
      <x:c r="I52" s="78"/>
      <x:c r="J52" s="78"/>
      <x:c r="K52" s="78"/>
    </x:row>
    <x:row r="53">
      <x:c r="B53" s="82" t="str">
        <x:v>SD1</x:v>
      </x:c>
      <x:c r="C53" s="492" t="str"/>
      <x:c r="D53" s="78" t="str">
        <x:v>g</x:v>
      </x:c>
      <x:c r="E53" s="78" t="str">
        <x:v>USGS / ASCE 7-22</x:v>
      </x:c>
      <x:c r="F53" s="78"/>
      <x:c r="G53" s="78"/>
      <x:c r="H53" s="78"/>
      <x:c r="I53" s="78"/>
      <x:c r="J53" s="78"/>
      <x:c r="K53" s="78"/>
    </x:row>
    <x:row r="54">
      <x:c r="B54" s="82" t="str">
        <x:v>Seismic Design Category</x:v>
      </x:c>
      <x:c r="C54" s="492" t="str"/>
      <x:c r="D54" s="78" t="str"/>
      <x:c r="E54" s="78" t="str">
        <x:v>ASCE 7-22 / CBC</x:v>
      </x:c>
      <x:c r="F54" s="78"/>
      <x:c r="G54" s="78"/>
      <x:c r="H54" s="78"/>
      <x:c r="I54" s="78"/>
      <x:c r="J54" s="78"/>
      <x:c r="K54" s="78"/>
    </x:row>
    <x:row r="55">
      <x:c r="B55" s="82" t="str">
        <x:v>TL</x:v>
      </x:c>
      <x:c r="C55" s="492" t="str"/>
      <x:c r="D55" s="78" t="str">
        <x:v>sec</x:v>
      </x:c>
      <x:c r="E55" s="78" t="str">
        <x:v>Long-period transition period</x:v>
      </x:c>
      <x:c r="F55" s="78"/>
      <x:c r="G55" s="78"/>
      <x:c r="H55" s="78"/>
      <x:c r="I55" s="78"/>
      <x:c r="J55" s="78"/>
      <x:c r="K55" s="78"/>
    </x:row>
    <x:row r="56">
      <x:c r="B56" s="78"/>
      <x:c r="C56" s="487"/>
      <x:c r="D56" s="78"/>
      <x:c r="E56" s="78"/>
      <x:c r="F56" s="78"/>
      <x:c r="G56" s="78"/>
      <x:c r="H56" s="78"/>
      <x:c r="I56" s="78"/>
      <x:c r="J56" s="78"/>
      <x:c r="K56" s="78"/>
    </x:row>
    <x:row r="57">
      <x:c r="B57" s="81" t="str">
        <x:v>G. WOOD MEMBER INPUTS</x:v>
      </x:c>
      <x:c r="C57" s="488"/>
      <x:c r="D57" s="81"/>
      <x:c r="E57" s="81"/>
      <x:c r="F57" s="81"/>
      <x:c r="G57" s="78"/>
      <x:c r="H57" s="78"/>
      <x:c r="I57" s="78"/>
      <x:c r="J57" s="78"/>
      <x:c r="K57" s="78"/>
    </x:row>
    <x:row r="58">
      <x:c r="B58" s="82" t="str">
        <x:v>Species / Species Group</x:v>
      </x:c>
      <x:c r="C58" s="485" t="str"/>
      <x:c r="D58" s="78" t="str"/>
      <x:c r="E58" s="78" t="str">
        <x:v>Approved source / NDS Supplement</x:v>
      </x:c>
      <x:c r="F58" s="78"/>
      <x:c r="G58" s="78"/>
      <x:c r="H58" s="78"/>
      <x:c r="I58" s="78"/>
      <x:c r="J58" s="78"/>
      <x:c r="K58" s="78"/>
    </x:row>
    <x:row r="59">
      <x:c r="B59" s="82" t="str">
        <x:v>Grade</x:v>
      </x:c>
      <x:c r="C59" s="485" t="str"/>
      <x:c r="D59" s="78" t="str"/>
      <x:c r="E59" s="78" t="str">
        <x:v>Member grade</x:v>
      </x:c>
      <x:c r="F59" s="78"/>
      <x:c r="G59" s="78"/>
      <x:c r="H59" s="78"/>
      <x:c r="I59" s="78"/>
      <x:c r="J59" s="78"/>
      <x:c r="K59" s="78"/>
    </x:row>
    <x:row r="60">
      <x:c r="B60" s="82" t="str">
        <x:v>E</x:v>
      </x:c>
      <x:c r="C60" s="489" t="str"/>
      <x:c r="D60" s="78" t="str">
        <x:v>psi</x:v>
      </x:c>
      <x:c r="E60" s="78" t="str">
        <x:v>Reference design value</x:v>
      </x:c>
      <x:c r="F60" s="78"/>
      <x:c r="G60" s="78"/>
      <x:c r="H60" s="78"/>
      <x:c r="I60" s="78"/>
      <x:c r="J60" s="78"/>
      <x:c r="K60" s="78"/>
    </x:row>
    <x:row r="61">
      <x:c r="B61" s="82" t="str">
        <x:v>Fb</x:v>
      </x:c>
      <x:c r="C61" s="489" t="str"/>
      <x:c r="D61" s="78" t="str">
        <x:v>psi</x:v>
      </x:c>
      <x:c r="E61" s="78" t="str">
        <x:v>Reference bending value</x:v>
      </x:c>
      <x:c r="F61" s="78"/>
      <x:c r="G61" s="78"/>
      <x:c r="H61" s="78"/>
      <x:c r="I61" s="78"/>
      <x:c r="J61" s="78"/>
      <x:c r="K61" s="78"/>
    </x:row>
    <x:row r="62">
      <x:c r="B62" s="82" t="str">
        <x:v>Fv</x:v>
      </x:c>
      <x:c r="C62" s="489" t="str"/>
      <x:c r="D62" s="78" t="str">
        <x:v>psi</x:v>
      </x:c>
      <x:c r="E62" s="78" t="str">
        <x:v>Reference shear value</x:v>
      </x:c>
      <x:c r="F62" s="78"/>
      <x:c r="G62" s="78"/>
      <x:c r="H62" s="78"/>
      <x:c r="I62" s="78"/>
      <x:c r="J62" s="78"/>
      <x:c r="K62" s="78"/>
    </x:row>
    <x:row r="63">
      <x:c r="B63" s="82" t="str">
        <x:v>Fc⊥</x:v>
      </x:c>
      <x:c r="C63" s="489" t="str"/>
      <x:c r="D63" s="78" t="str">
        <x:v>psi</x:v>
      </x:c>
      <x:c r="E63" s="78" t="str">
        <x:v>Compression perpendicular to grain</x:v>
      </x:c>
      <x:c r="F63" s="78"/>
      <x:c r="G63" s="78"/>
      <x:c r="H63" s="78"/>
      <x:c r="I63" s="78"/>
      <x:c r="J63" s="78"/>
      <x:c r="K63" s="78"/>
    </x:row>
    <x:row r="64">
      <x:c r="B64" s="78"/>
      <x:c r="C64" s="487"/>
      <x:c r="D64" s="78"/>
      <x:c r="E64" s="78"/>
      <x:c r="F64" s="78"/>
      <x:c r="G64" s="78"/>
      <x:c r="H64" s="78"/>
      <x:c r="I64" s="78"/>
      <x:c r="J64" s="78"/>
      <x:c r="K64" s="78"/>
    </x:row>
    <x:row r="65">
      <x:c r="B65" s="211" t="str">
        <x:v>H. WIND DETAIL INPUTS</x:v>
      </x:c>
      <x:c r="C65" s="493"/>
      <x:c r="D65" s="211"/>
      <x:c r="E65" s="211"/>
      <x:c r="F65" s="78"/>
      <x:c r="G65" s="78"/>
      <x:c r="H65" s="78"/>
      <x:c r="I65" s="78"/>
      <x:c r="J65" s="78"/>
      <x:c r="K65" s="78"/>
    </x:row>
    <x:row r="66">
      <x:c r="B66" s="212" t="str">
        <x:v>Wind Procedure</x:v>
      </x:c>
      <x:c r="C66" s="494"/>
      <x:c r="D66" s="214"/>
      <x:c r="E66" s="215" t="str">
        <x:v>Chapter 28 Envelope or Chapter 27 Directional</x:v>
      </x:c>
      <x:c r="F66" s="78"/>
      <x:c r="G66" s="78"/>
      <x:c r="H66" s="78"/>
      <x:c r="I66" s="78"/>
      <x:c r="J66" s="78"/>
      <x:c r="K66" s="78"/>
    </x:row>
    <x:row r="67">
      <x:c r="B67" s="212" t="str">
        <x:v>Enclosure Classification</x:v>
      </x:c>
      <x:c r="C67" s="494"/>
      <x:c r="D67" s="214"/>
      <x:c r="E67" s="215" t="str">
        <x:v>Enclosed / Partially Enclosed / Partially Open / Open</x:v>
      </x:c>
      <x:c r="F67" s="78"/>
      <x:c r="G67" s="78"/>
      <x:c r="H67" s="78"/>
      <x:c r="I67" s="78"/>
      <x:c r="J67" s="78"/>
      <x:c r="K67" s="78"/>
    </x:row>
    <x:row r="68">
      <x:c r="B68" s="212" t="str">
        <x:v>Roof Type</x:v>
      </x:c>
      <x:c r="C68" s="494"/>
      <x:c r="D68" s="214"/>
      <x:c r="E68" s="215" t="str">
        <x:v>Flat / Gable / Hip / Other</x:v>
      </x:c>
      <x:c r="F68" s="78"/>
      <x:c r="G68" s="78"/>
      <x:c r="H68" s="78"/>
      <x:c r="I68" s="78"/>
      <x:c r="J68" s="78"/>
      <x:c r="K68" s="78"/>
    </x:row>
    <x:row r="69">
      <x:c r="B69" s="212" t="str">
        <x:v>Roof Slope</x:v>
      </x:c>
      <x:c r="C69" s="495"/>
      <x:c r="D69" s="214" t="str">
        <x:v>deg</x:v>
      </x:c>
      <x:c r="E69" s="215" t="str">
        <x:v>Used for coefficient selection / applicability</x:v>
      </x:c>
      <x:c r="F69" s="78"/>
      <x:c r="G69" s="78"/>
      <x:c r="H69" s="78"/>
      <x:c r="I69" s="78"/>
      <x:c r="J69" s="78"/>
      <x:c r="K69" s="78"/>
    </x:row>
    <x:row r="70">
      <x:c r="B70" s="212" t="str">
        <x:v>Ground Elevation Factor Ke</x:v>
      </x:c>
      <x:c r="C70" s="496"/>
      <x:c r="D70" s="214"/>
      <x:c r="E70" s="215" t="str">
        <x:v>ASCE 7-22 §26.9; derive from site elevation when automated</x:v>
      </x:c>
      <x:c r="F70" s="78"/>
      <x:c r="G70" s="78"/>
      <x:c r="H70" s="78"/>
      <x:c r="I70" s="78"/>
      <x:c r="J70" s="78"/>
      <x:c r="K70" s="78"/>
    </x:row>
    <x:row r="71">
      <x:c r="B71" s="212" t="str">
        <x:v>Default C&amp;C Effective Wind Area</x:v>
      </x:c>
      <x:c r="C71" s="495"/>
      <x:c r="D71" s="214" t="str">
        <x:v>ft²</x:v>
      </x:c>
      <x:c r="E71" s="215" t="str">
        <x:v>Optional default for C&amp;C schedule</x:v>
      </x:c>
      <x:c r="F71" s="78"/>
      <x:c r="G71" s="78"/>
      <x:c r="H71" s="78"/>
      <x:c r="I71" s="78"/>
      <x:c r="J71" s="78"/>
      <x:c r="K71" s="78"/>
    </x:row>
    <x:row r="72">
      <x:c r="B72" s="212" t="str">
        <x:v>Wind Hazard Source / Report ID</x:v>
      </x:c>
      <x:c r="C72" s="494"/>
      <x:c r="D72" s="214"/>
      <x:c r="E72" s="215" t="str">
        <x:v>ASCE Hazard Tool / AHJ / other</x:v>
      </x:c>
      <x:c r="F72" s="78"/>
      <x:c r="G72" s="78"/>
      <x:c r="H72" s="78"/>
      <x:c r="I72" s="78"/>
      <x:c r="J72" s="78"/>
      <x:c r="K72" s="78"/>
    </x:row>
    <x:row r="73">
      <x:c r="B73" s="212" t="str">
        <x:v>Wind Hazard Retrieval Date</x:v>
      </x:c>
      <x:c r="C73" s="497"/>
      <x:c r="D73" s="214"/>
      <x:c r="E73" s="215" t="str">
        <x:v>Record date of hazard lookup</x:v>
      </x:c>
      <x:c r="F73" s="78"/>
      <x:c r="G73" s="78"/>
      <x:c r="H73" s="78"/>
      <x:c r="I73" s="78"/>
      <x:c r="J73" s="78"/>
      <x:c r="K73" s="78"/>
    </x:row>
    <x:row r="74">
      <x:c r="B74" s="212" t="str">
        <x:v>Wind Design Review</x:v>
      </x:c>
      <x:c r="C74" s="494"/>
      <x:c r="D74" s="214"/>
      <x:c r="E74" s="215" t="str">
        <x:v>Engineer confirmation / notes</x:v>
      </x:c>
      <x:c r="F74" s="78"/>
      <x:c r="G74" s="78"/>
      <x:c r="H74" s="78"/>
      <x:c r="I74" s="78"/>
      <x:c r="J74" s="78"/>
      <x:c r="K74" s="78"/>
    </x:row>
    <x:row r="75">
      <x:c r="B75" s="78"/>
      <x:c r="C75" s="487"/>
      <x:c r="D75" s="78"/>
      <x:c r="E75" s="78"/>
      <x:c r="F75" s="78"/>
      <x:c r="G75" s="78"/>
      <x:c r="H75" s="78"/>
      <x:c r="I75" s="78"/>
      <x:c r="J75" s="78"/>
      <x:c r="K75" s="78"/>
    </x:row>
    <x:row r="76" ht="15" hidden="0" customHeight="1">
      <x:c r="B76" s="279" t="str">
        <x:v>I. SEISMIC DETAIL INPUTS</x:v>
      </x:c>
      <x:c r="C76" s="498"/>
      <x:c r="D76" s="279"/>
      <x:c r="E76" s="279"/>
      <x:c r="F76" s="78"/>
      <x:c r="G76" s="78"/>
      <x:c r="H76" s="78"/>
      <x:c r="I76" s="78"/>
      <x:c r="J76" s="78"/>
      <x:c r="K76" s="78"/>
    </x:row>
    <x:row r="77" ht="15" hidden="0" customHeight="1">
      <x:c r="B77" s="82" t="str">
        <x:v>Mapped MCER S1</x:v>
      </x:c>
      <x:c r="C77" s="499"/>
      <x:c r="D77" s="78" t="str">
        <x:v>g</x:v>
      </x:c>
      <x:c r="E77" s="78" t="str">
        <x:v>USGS ASCE 7-22 API; used for Cs lower bound</x:v>
      </x:c>
      <x:c r="F77" s="78"/>
      <x:c r="G77" s="78"/>
      <x:c r="H77" s="78"/>
      <x:c r="I77" s="78"/>
      <x:c r="J77" s="78"/>
      <x:c r="K77" s="78"/>
    </x:row>
    <x:row r="78" ht="15" hidden="0" customHeight="1">
      <x:c r="B78" s="82" t="str">
        <x:v>Mapped MCER Ss</x:v>
      </x:c>
      <x:c r="C78" s="500"/>
      <x:c r="D78" s="78" t="str">
        <x:v>g</x:v>
      </x:c>
      <x:c r="E78" s="78" t="str">
        <x:v>USGS ASCE 7-22 API / record</x:v>
      </x:c>
      <x:c r="F78" s="78"/>
      <x:c r="G78" s="78"/>
      <x:c r="H78" s="78"/>
      <x:c r="I78" s="78"/>
      <x:c r="J78" s="78"/>
      <x:c r="K78" s="78"/>
    </x:row>
    <x:row r="79" ht="26.399999618530273" hidden="0" customHeight="1">
      <x:c r="B79" s="82" t="str">
        <x:v>Seismic Structural Height hn</x:v>
      </x:c>
      <x:c r="C79" s="500"/>
      <x:c r="D79" s="78" t="str">
        <x:v>ft</x:v>
      </x:c>
      <x:c r="E79" s="78" t="str">
        <x:v>Optional; if blank module uses highest entered level height</x:v>
      </x:c>
      <x:c r="F79" s="78"/>
      <x:c r="G79" s="78"/>
      <x:c r="H79" s="78"/>
      <x:c r="I79" s="78"/>
      <x:c r="J79" s="78"/>
      <x:c r="K79" s="78"/>
    </x:row>
    <x:row r="80" ht="26.399999618530273" hidden="0" customHeight="1">
      <x:c r="B80" s="82" t="str">
        <x:v>Effective Seismic Weight W</x:v>
      </x:c>
      <x:c r="C80" s="500"/>
      <x:c r="D80" s="78" t="str">
        <x:v>kips</x:v>
      </x:c>
      <x:c r="E80" s="78" t="str">
        <x:v>Per ASCE 7-22 §12.7.2; future weight takeoff automation</x:v>
      </x:c>
      <x:c r="F80" s="78"/>
      <x:c r="G80" s="78"/>
      <x:c r="H80" s="78"/>
      <x:c r="I80" s="78"/>
      <x:c r="J80" s="78"/>
      <x:c r="K80" s="78"/>
    </x:row>
    <x:row r="81" ht="15" hidden="0" customHeight="1">
      <x:c r="B81" s="233" t="str">
        <x:v>Lateral System — X</x:v>
      </x:c>
      <x:c r="C81" s="501"/>
      <x:c r="D81" s="140"/>
      <x:c r="E81" s="140" t="str">
        <x:v>Select exact SFRS from ASCE 7-22 Table 12.2-1</x:v>
      </x:c>
    </x:row>
    <x:row r="82" ht="15" hidden="0" customHeight="1">
      <x:c r="B82" s="233" t="str">
        <x:v>Lateral System — Y</x:v>
      </x:c>
      <x:c r="C82" s="501"/>
      <x:c r="D82" s="140"/>
      <x:c r="E82" s="140" t="str">
        <x:v>Select exact SFRS from ASCE 7-22 Table 12.2-1</x:v>
      </x:c>
    </x:row>
    <x:row r="83" ht="15" hidden="0" customHeight="1">
      <x:c r="B83" s="233" t="str">
        <x:v>R — X</x:v>
      </x:c>
      <x:c r="C83" s="501"/>
      <x:c r="D83" s="140"/>
      <x:c r="E83" s="140" t="str">
        <x:v>Code-table value; future auto-lookup</x:v>
      </x:c>
    </x:row>
    <x:row r="84" ht="15" hidden="0" customHeight="1">
      <x:c r="B84" s="233" t="str">
        <x:v>R — Y</x:v>
      </x:c>
      <x:c r="C84" s="501"/>
      <x:c r="D84" s="140"/>
      <x:c r="E84" s="140" t="str">
        <x:v>Code-table value; future auto-lookup</x:v>
      </x:c>
    </x:row>
    <x:row r="85" ht="15" hidden="0" customHeight="1">
      <x:c r="B85" s="233" t="str">
        <x:v>Ω0 — X</x:v>
      </x:c>
      <x:c r="C85" s="501"/>
      <x:c r="D85" s="140"/>
      <x:c r="E85" s="140" t="str">
        <x:v>Code-table value; future auto-lookup</x:v>
      </x:c>
    </x:row>
    <x:row r="86" ht="15" hidden="0" customHeight="1">
      <x:c r="B86" s="233" t="str">
        <x:v>Ω0 — Y</x:v>
      </x:c>
      <x:c r="C86" s="501"/>
      <x:c r="D86" s="140"/>
      <x:c r="E86" s="140" t="str">
        <x:v>Code-table value; future auto-lookup</x:v>
      </x:c>
    </x:row>
    <x:row r="87" ht="15" hidden="0" customHeight="1">
      <x:c r="B87" s="233" t="str">
        <x:v>Cd — X</x:v>
      </x:c>
      <x:c r="C87" s="501"/>
      <x:c r="D87" s="140"/>
      <x:c r="E87" s="140" t="str">
        <x:v>Code-table value; future auto-lookup</x:v>
      </x:c>
    </x:row>
    <x:row r="88" ht="15" hidden="0" customHeight="1">
      <x:c r="B88" s="233" t="str">
        <x:v>Cd — Y</x:v>
      </x:c>
      <x:c r="C88" s="501"/>
      <x:c r="D88" s="140"/>
      <x:c r="E88" s="140" t="str">
        <x:v>Code-table value; future auto-lookup</x:v>
      </x:c>
    </x:row>
    <x:row r="89" ht="15" hidden="0" customHeight="1">
      <x:c r="B89" s="233" t="str">
        <x:v>Ct — X</x:v>
      </x:c>
      <x:c r="C89" s="501"/>
      <x:c r="D89" s="140"/>
      <x:c r="E89" s="140" t="str">
        <x:v>Approximate-period coefficient, Table 12.8-2</x:v>
      </x:c>
    </x:row>
    <x:row r="90" ht="15" hidden="0" customHeight="1">
      <x:c r="B90" s="233" t="str">
        <x:v>x — X</x:v>
      </x:c>
      <x:c r="C90" s="501"/>
      <x:c r="D90" s="140"/>
      <x:c r="E90" s="140" t="str">
        <x:v>Approximate-period exponent, Table 12.8-2</x:v>
      </x:c>
    </x:row>
    <x:row r="91" ht="15" hidden="0" customHeight="1">
      <x:c r="B91" s="233" t="str">
        <x:v>Ct — Y</x:v>
      </x:c>
      <x:c r="C91" s="501"/>
      <x:c r="D91" s="140"/>
      <x:c r="E91" s="140" t="str">
        <x:v>Approximate-period coefficient, Table 12.8-2</x:v>
      </x:c>
    </x:row>
    <x:row r="92" ht="15" hidden="0" customHeight="1">
      <x:c r="B92" s="233" t="str">
        <x:v>x — Y</x:v>
      </x:c>
      <x:c r="C92" s="501"/>
      <x:c r="D92" s="140"/>
      <x:c r="E92" s="140" t="str">
        <x:v>Approximate-period exponent, Table 12.8-2</x:v>
      </x:c>
    </x:row>
    <x:row r="93" ht="26.399999618530273" hidden="0" customHeight="1">
      <x:c r="B93" s="233" t="str">
        <x:v>Cu</x:v>
      </x:c>
      <x:c r="C93" s="501"/>
      <x:c r="D93" s="140"/>
      <x:c r="E93" s="140" t="str">
        <x:v>Upper-limit coefficient, Table 12.8-1; needed only when analytical T is used</x:v>
      </x:c>
    </x:row>
    <x:row r="94" ht="15" hidden="0" customHeight="1">
      <x:c r="B94" s="233" t="str">
        <x:v>Analytical Period Tx</x:v>
      </x:c>
      <x:c r="C94" s="501"/>
      <x:c r="D94" s="140" t="str">
        <x:v>sec</x:v>
      </x:c>
      <x:c r="E94" s="140" t="str">
        <x:v>Optional; leave blank to use Ta</x:v>
      </x:c>
    </x:row>
    <x:row r="95" ht="15" hidden="0" customHeight="1">
      <x:c r="B95" s="233" t="str">
        <x:v>Analytical Period Ty</x:v>
      </x:c>
      <x:c r="C95" s="501"/>
      <x:c r="D95" s="140" t="str">
        <x:v>sec</x:v>
      </x:c>
      <x:c r="E95" s="140" t="str">
        <x:v>Optional; leave blank to use Ta</x:v>
      </x:c>
    </x:row>
    <x:row r="96" ht="15" hidden="0" customHeight="1">
      <x:c r="B96" s="233" t="str">
        <x:v>Redundancy Factor ρ — X</x:v>
      </x:c>
      <x:c r="C96" s="501"/>
      <x:c r="D96" s="140"/>
      <x:c r="E96" s="140" t="str">
        <x:v>ASCE 7-22 §12.3.4; engineer confirmation</x:v>
      </x:c>
    </x:row>
    <x:row r="97" ht="15" hidden="0" customHeight="1">
      <x:c r="B97" s="233" t="str">
        <x:v>Redundancy Factor ρ — Y</x:v>
      </x:c>
      <x:c r="C97" s="501"/>
      <x:c r="D97" s="140"/>
      <x:c r="E97" s="140" t="str">
        <x:v>ASCE 7-22 §12.3.4; engineer confirmation</x:v>
      </x:c>
    </x:row>
    <x:row r="98" ht="15" hidden="0" customHeight="1">
      <x:c r="B98" s="233" t="str">
        <x:v>Seismic Analysis Method</x:v>
      </x:c>
      <x:c r="C98" s="501"/>
      <x:c r="D98" s="140"/>
      <x:c r="E98" s="140" t="str">
        <x:v>Current engine: ELF Method 2</x:v>
      </x:c>
    </x:row>
    <x:row r="99" ht="15" hidden="0" customHeight="1">
      <x:c r="B99" s="233" t="str">
        <x:v>Seismic Hazard Source / Report ID</x:v>
      </x:c>
      <x:c r="C99" s="501"/>
      <x:c r="D99" s="140"/>
      <x:c r="E99" s="140" t="str">
        <x:v>USGS / ASCE Hazard Tool / project geotechnical source</x:v>
      </x:c>
    </x:row>
    <x:row r="100" ht="15" hidden="0" customHeight="1">
      <x:c r="B100" s="233" t="str">
        <x:v>Seismic Hazard Retrieval Date</x:v>
      </x:c>
      <x:c r="C100" s="501"/>
      <x:c r="D100" s="140"/>
      <x:c r="E100" s="140" t="str">
        <x:v>Record source retrieval date</x:v>
      </x:c>
    </x:row>
    <x:row r="101" ht="15" hidden="0" customHeight="1">
      <x:c r="B101" s="233" t="str">
        <x:v>Seismic Design Review</x:v>
      </x:c>
      <x:c r="C101" s="502"/>
      <x:c r="D101" s="140"/>
      <x:c r="E101" s="140" t="str">
        <x:v>Engineer confirmation / notes</x:v>
      </x:c>
    </x:row>
    <x:row r="102">
      <x:c r="C102" s="503"/>
    </x:row>
    <x:row r="103" ht="15" hidden="0" customHeight="1">
      <x:c r="B103" s="292" t="str">
        <x:v>J. SEISMIC LEVEL WEIGHTS</x:v>
      </x:c>
      <x:c r="C103" s="504"/>
      <x:c r="D103" s="292"/>
      <x:c r="E103" s="292"/>
    </x:row>
    <x:row r="104" ht="15" hidden="0" customHeight="1">
      <x:c r="B104" s="233" t="str">
        <x:v>Level 1 Height above base</x:v>
      </x:c>
      <x:c r="C104" s="505"/>
      <x:c r="D104" s="140" t="str">
        <x:v>ft</x:v>
      </x:c>
      <x:c r="E104" s="140" t="str">
        <x:v>Cumulative height hx</x:v>
      </x:c>
    </x:row>
    <x:row r="105" ht="15" hidden="0" customHeight="1">
      <x:c r="B105" s="233" t="str">
        <x:v>Level 1 Seismic Weight</x:v>
      </x:c>
      <x:c r="C105" s="501"/>
      <x:c r="D105" s="140" t="str">
        <x:v>kips</x:v>
      </x:c>
      <x:c r="E105" s="140" t="str">
        <x:v>wx at level</x:v>
      </x:c>
    </x:row>
    <x:row r="106" ht="15" hidden="0" customHeight="1">
      <x:c r="B106" s="233" t="str">
        <x:v>Level 2 Height above base</x:v>
      </x:c>
      <x:c r="C106" s="501"/>
      <x:c r="D106" s="140" t="str">
        <x:v>ft</x:v>
      </x:c>
      <x:c r="E106" s="140" t="str">
        <x:v>Cumulative height hx</x:v>
      </x:c>
    </x:row>
    <x:row r="107" ht="15" hidden="0" customHeight="1">
      <x:c r="B107" s="233" t="str">
        <x:v>Level 2 Seismic Weight</x:v>
      </x:c>
      <x:c r="C107" s="501"/>
      <x:c r="D107" s="140" t="str">
        <x:v>kips</x:v>
      </x:c>
      <x:c r="E107" s="140" t="str">
        <x:v>wx at level</x:v>
      </x:c>
    </x:row>
    <x:row r="108" ht="15" hidden="0" customHeight="1">
      <x:c r="B108" s="233" t="str">
        <x:v>Level 3 Height above base</x:v>
      </x:c>
      <x:c r="C108" s="501"/>
      <x:c r="D108" s="140" t="str">
        <x:v>ft</x:v>
      </x:c>
      <x:c r="E108" s="140" t="str">
        <x:v>Cumulative height hx</x:v>
      </x:c>
    </x:row>
    <x:row r="109" ht="15" hidden="0" customHeight="1">
      <x:c r="B109" s="233" t="str">
        <x:v>Level 3 Seismic Weight</x:v>
      </x:c>
      <x:c r="C109" s="501"/>
      <x:c r="D109" s="140" t="str">
        <x:v>kips</x:v>
      </x:c>
      <x:c r="E109" s="140" t="str">
        <x:v>wx at level</x:v>
      </x:c>
    </x:row>
    <x:row r="110" ht="15" hidden="0" customHeight="1">
      <x:c r="B110" s="233" t="str">
        <x:v>Level 4 Height above base</x:v>
      </x:c>
      <x:c r="C110" s="501"/>
      <x:c r="D110" s="140" t="str">
        <x:v>ft</x:v>
      </x:c>
      <x:c r="E110" s="140" t="str">
        <x:v>Cumulative height hx</x:v>
      </x:c>
    </x:row>
    <x:row r="111" ht="15" hidden="0" customHeight="1">
      <x:c r="B111" s="233" t="str">
        <x:v>Level 4 Seismic Weight</x:v>
      </x:c>
      <x:c r="C111" s="501"/>
      <x:c r="D111" s="140" t="str">
        <x:v>kips</x:v>
      </x:c>
      <x:c r="E111" s="140" t="str">
        <x:v>wx at level</x:v>
      </x:c>
    </x:row>
    <x:row r="112" ht="15" hidden="0" customHeight="1">
      <x:c r="B112" s="233" t="str">
        <x:v>Level 5 Height above base</x:v>
      </x:c>
      <x:c r="C112" s="501"/>
      <x:c r="D112" s="140" t="str">
        <x:v>ft</x:v>
      </x:c>
      <x:c r="E112" s="140" t="str">
        <x:v>Cumulative height hx</x:v>
      </x:c>
    </x:row>
    <x:row r="113" ht="15" hidden="0" customHeight="1">
      <x:c r="B113" s="233" t="str">
        <x:v>Level 5 Seismic Weight</x:v>
      </x:c>
      <x:c r="C113" s="501"/>
      <x:c r="D113" s="140" t="str">
        <x:v>kips</x:v>
      </x:c>
      <x:c r="E113" s="140" t="str">
        <x:v>wx at level</x:v>
      </x:c>
    </x:row>
    <x:row r="114" ht="15" hidden="0" customHeight="1">
      <x:c r="B114" s="233" t="str">
        <x:v>Level 6 Height above base</x:v>
      </x:c>
      <x:c r="C114" s="501"/>
      <x:c r="D114" s="140" t="str">
        <x:v>ft</x:v>
      </x:c>
      <x:c r="E114" s="140" t="str">
        <x:v>Cumulative height hx</x:v>
      </x:c>
    </x:row>
    <x:row r="115" ht="15" hidden="0" customHeight="1">
      <x:c r="B115" s="233" t="str">
        <x:v>Level 6 Seismic Weight</x:v>
      </x:c>
      <x:c r="C115" s="502"/>
      <x:c r="D115" s="140" t="str">
        <x:v>kips</x:v>
      </x:c>
      <x:c r="E115" s="140" t="str">
        <x:v>wx at level</x:v>
      </x:c>
    </x:row>
    <x:row r="116" ht="26.399999618530273" hidden="0" customHeight="1">
      <x:c r="B116" s="233" t="str">
        <x:v>Note</x:v>
      </x:c>
      <x:c r="C116" s="506"/>
      <x:c r="D116" s="140"/>
      <x:c r="E116" s="140" t="str">
        <x:v>For one-story work, enter only Level 1. Future web app will generate this table from the model/takeoff.</x:v>
      </x:c>
    </x:row>
    <x:row r="117">
      <x:c r="C117" s="503"/>
    </x:row>
    <x:row r="118">
      <x:c r="B118" s="331" t="str">
        <x:v>K. WOOD BEAM / HEADER DESIGN INPUTS</x:v>
      </x:c>
      <x:c r="C118" s="507"/>
      <x:c r="D118" s="332"/>
      <x:c r="E118" s="333"/>
    </x:row>
    <x:row r="119">
      <x:c r="B119" s="334" t="str">
        <x:v>Member Mark</x:v>
      </x:c>
      <x:c r="C119" s="506"/>
      <x:c r="D119" s="336"/>
      <x:c r="E119" s="337" t="str">
        <x:v>Schedule identifier, e.g., B1 or H1</x:v>
      </x:c>
    </x:row>
    <x:row r="120">
      <x:c r="B120" s="334" t="str">
        <x:v>Member Use</x:v>
      </x:c>
      <x:c r="C120" s="506"/>
      <x:c r="D120" s="336"/>
      <x:c r="E120" s="337" t="str">
        <x:v>Beam / Header / Rafter / Joist / Other</x:v>
      </x:c>
    </x:row>
    <x:row r="121">
      <x:c r="B121" s="334" t="str">
        <x:v>Load Basis</x:v>
      </x:c>
      <x:c r="C121" s="506"/>
      <x:c r="D121" s="336"/>
      <x:c r="E121" s="337" t="str">
        <x:v>Roof or Floor; controls area-load source</x:v>
      </x:c>
    </x:row>
    <x:row r="122">
      <x:c r="B122" s="334" t="str">
        <x:v>Bearing Length — Left</x:v>
      </x:c>
      <x:c r="C122" s="506"/>
      <x:c r="D122" s="336" t="str">
        <x:v>in</x:v>
      </x:c>
      <x:c r="E122" s="337" t="str">
        <x:v>Actual bearing length at left support</x:v>
      </x:c>
    </x:row>
    <x:row r="123">
      <x:c r="B123" s="334" t="str">
        <x:v>Bearing Length — Right</x:v>
      </x:c>
      <x:c r="C123" s="506"/>
      <x:c r="D123" s="336" t="str">
        <x:v>in</x:v>
      </x:c>
      <x:c r="E123" s="337" t="str">
        <x:v>Actual bearing length at right support</x:v>
      </x:c>
    </x:row>
    <x:row r="124">
      <x:c r="B124" s="334" t="str">
        <x:v>Live Deflection Limit</x:v>
      </x:c>
      <x:c r="C124" s="506"/>
      <x:c r="D124" s="336" t="str">
        <x:v>L/x</x:v>
      </x:c>
      <x:c r="E124" s="337" t="str">
        <x:v>Code/project serviceability criterion</x:v>
      </x:c>
    </x:row>
    <x:row r="125">
      <x:c r="B125" s="334" t="str">
        <x:v>Total Deflection Limit</x:v>
      </x:c>
      <x:c r="C125" s="506"/>
      <x:c r="D125" s="336" t="str">
        <x:v>L/x</x:v>
      </x:c>
      <x:c r="E125" s="337" t="str">
        <x:v>Code/project serviceability criterion</x:v>
      </x:c>
    </x:row>
    <x:row r="126">
      <x:c r="B126" s="334" t="str">
        <x:v>Load Duration Factor CD</x:v>
      </x:c>
      <x:c r="C126" s="506"/>
      <x:c r="D126" s="336"/>
      <x:c r="E126" s="337" t="str">
        <x:v>Controlled NDS factor; future code-library lookup</x:v>
      </x:c>
    </x:row>
    <x:row r="127">
      <x:c r="B127" s="334" t="str">
        <x:v>Wet Service Factor CM — Fb</x:v>
      </x:c>
      <x:c r="C127" s="506"/>
      <x:c r="D127" s="336"/>
      <x:c r="E127" s="337" t="str">
        <x:v>Controlled NDS factor</x:v>
      </x:c>
    </x:row>
    <x:row r="128">
      <x:c r="B128" s="334" t="str">
        <x:v>Wet Service Factor CM — Fv</x:v>
      </x:c>
      <x:c r="C128" s="506"/>
      <x:c r="D128" s="336"/>
      <x:c r="E128" s="337" t="str">
        <x:v>Controlled NDS factor</x:v>
      </x:c>
    </x:row>
    <x:row r="129">
      <x:c r="B129" s="334" t="str">
        <x:v>Wet Service Factor CM — Fc⊥</x:v>
      </x:c>
      <x:c r="C129" s="506"/>
      <x:c r="D129" s="336"/>
      <x:c r="E129" s="337" t="str">
        <x:v>Controlled NDS factor</x:v>
      </x:c>
    </x:row>
    <x:row r="130">
      <x:c r="B130" s="334" t="str">
        <x:v>Wet Service Factor CM — E</x:v>
      </x:c>
      <x:c r="C130" s="506"/>
      <x:c r="D130" s="336"/>
      <x:c r="E130" s="337" t="str">
        <x:v>Controlled NDS factor</x:v>
      </x:c>
    </x:row>
    <x:row r="131">
      <x:c r="B131" s="334" t="str">
        <x:v>Temperature Factor Ct — Fb</x:v>
      </x:c>
      <x:c r="C131" s="506"/>
      <x:c r="D131" s="336"/>
      <x:c r="E131" s="337" t="str">
        <x:v>Controlled NDS factor</x:v>
      </x:c>
    </x:row>
    <x:row r="132">
      <x:c r="B132" s="334" t="str">
        <x:v>Temperature Factor Ct — Fv</x:v>
      </x:c>
      <x:c r="C132" s="506"/>
      <x:c r="D132" s="336"/>
      <x:c r="E132" s="337" t="str">
        <x:v>Controlled NDS factor</x:v>
      </x:c>
    </x:row>
    <x:row r="133">
      <x:c r="B133" s="334" t="str">
        <x:v>Temperature Factor Ct — Fc⊥</x:v>
      </x:c>
      <x:c r="C133" s="506"/>
      <x:c r="D133" s="336"/>
      <x:c r="E133" s="337" t="str">
        <x:v>Controlled NDS factor</x:v>
      </x:c>
    </x:row>
    <x:row r="134">
      <x:c r="B134" s="334" t="str">
        <x:v>Temperature Factor Ct — E</x:v>
      </x:c>
      <x:c r="C134" s="506"/>
      <x:c r="D134" s="336"/>
      <x:c r="E134" s="337" t="str">
        <x:v>Controlled NDS factor</x:v>
      </x:c>
    </x:row>
    <x:row r="135">
      <x:c r="B135" s="334" t="str">
        <x:v>Size Factor CF — Fb</x:v>
      </x:c>
      <x:c r="C135" s="506"/>
      <x:c r="D135" s="336"/>
      <x:c r="E135" s="337" t="str">
        <x:v>Controlled NDS factor; applicability depends on product/size</x:v>
      </x:c>
    </x:row>
    <x:row r="136">
      <x:c r="B136" s="334" t="str">
        <x:v>Flat Use Factor Cfu</x:v>
      </x:c>
      <x:c r="C136" s="506"/>
      <x:c r="D136" s="336"/>
      <x:c r="E136" s="337" t="str">
        <x:v>Controlled NDS factor; use only when applicable</x:v>
      </x:c>
    </x:row>
    <x:row r="137">
      <x:c r="B137" s="334" t="str">
        <x:v>Repetitive Member Factor Cr</x:v>
      </x:c>
      <x:c r="C137" s="506"/>
      <x:c r="D137" s="336"/>
      <x:c r="E137" s="337" t="str">
        <x:v>Controlled NDS factor; use only when applicable</x:v>
      </x:c>
    </x:row>
    <x:row r="138">
      <x:c r="B138" s="334" t="str">
        <x:v>Beam Stability Factor CL</x:v>
      </x:c>
      <x:c r="C138" s="506"/>
      <x:c r="D138" s="336"/>
      <x:c r="E138" s="337" t="str">
        <x:v>Controlled NDS factor; requires lateral-support review</x:v>
      </x:c>
    </x:row>
    <x:row r="139">
      <x:c r="B139" s="334" t="str">
        <x:v>Bearing Area Factor Cb</x:v>
      </x:c>
      <x:c r="C139" s="506"/>
      <x:c r="D139" s="336"/>
      <x:c r="E139" s="337" t="str">
        <x:v>Controlled NDS factor; use only when permitted</x:v>
      </x:c>
    </x:row>
    <x:row r="140">
      <x:c r="B140" s="334" t="str">
        <x:v>Reference Design Value Record</x:v>
      </x:c>
      <x:c r="C140" s="506"/>
      <x:c r="D140" s="336"/>
      <x:c r="E140" s="337" t="str">
        <x:v>NDS Supplement / manufacturer source record ID</x:v>
      </x:c>
    </x:row>
    <x:row r="141">
      <x:c r="B141" s="334" t="str">
        <x:v>Adjustment Factor Record</x:v>
      </x:c>
      <x:c r="C141" s="506"/>
      <x:c r="D141" s="336"/>
      <x:c r="E141" s="337" t="str">
        <x:v>Licensed-standard/source record for selected factors</x:v>
      </x:c>
    </x:row>
    <x:row r="142">
      <x:c r="B142" s="338" t="str">
        <x:v>Wood Member Design Review</x:v>
      </x:c>
      <x:c r="C142" s="506"/>
      <x:c r="D142" s="340"/>
      <x:c r="E142" s="341" t="str">
        <x:v>Engineer review notes / unresolved conditions</x:v>
      </x:c>
    </x:row>
    <x:row r="143">
      <x:c r="C143" s="503"/>
    </x:row>
    <x:row r="144" ht="22" customHeight="1">
      <x:c r="B144" s="379" t="str">
        <x:v>L. WOOD COLUMN / POST DESIGN INPUTS</x:v>
      </x:c>
      <x:c r="C144" s="504"/>
      <x:c r="D144" s="379"/>
      <x:c r="E144" s="379"/>
    </x:row>
    <x:row r="145" ht="20" customHeight="1">
      <x:c r="B145" s="329" t="str">
        <x:v>Column Mark</x:v>
      </x:c>
      <x:c r="C145" s="506"/>
      <x:c r="D145" s="140"/>
      <x:c r="E145" s="140" t="str">
        <x:v>Schedule identifier, e.g., P1 or C1</x:v>
      </x:c>
    </x:row>
    <x:row r="146" ht="20" customHeight="1">
      <x:c r="B146" s="329" t="str">
        <x:v>Column Use</x:v>
      </x:c>
      <x:c r="C146" s="506"/>
      <x:c r="D146" s="140"/>
      <x:c r="E146" s="140" t="str">
        <x:v>Post / Column / Stud Pack / Other</x:v>
      </x:c>
    </x:row>
    <x:row r="147" ht="20" customHeight="1">
      <x:c r="B147" s="329" t="str">
        <x:v>Material Type</x:v>
      </x:c>
      <x:c r="C147" s="506"/>
      <x:c r="D147" s="140"/>
      <x:c r="E147" s="140" t="str">
        <x:v>Sawn Lumber / Glulam / SCL / CLT</x:v>
      </x:c>
    </x:row>
    <x:row r="148" ht="20" customHeight="1">
      <x:c r="B148" s="329" t="str">
        <x:v>Actual Width b</x:v>
      </x:c>
      <x:c r="C148" s="506"/>
      <x:c r="D148" s="140" t="str">
        <x:v>in</x:v>
      </x:c>
      <x:c r="E148" s="140" t="str">
        <x:v>Actual cross-section width</x:v>
      </x:c>
    </x:row>
    <x:row r="149" ht="20" customHeight="1">
      <x:c r="B149" s="329" t="str">
        <x:v>Actual Depth d</x:v>
      </x:c>
      <x:c r="C149" s="506"/>
      <x:c r="D149" s="140" t="str">
        <x:v>in</x:v>
      </x:c>
      <x:c r="E149" s="140" t="str">
        <x:v>Actual cross-section depth</x:v>
      </x:c>
    </x:row>
    <x:row r="150" ht="20" customHeight="1">
      <x:c r="B150" s="329" t="str">
        <x:v>Axial Compression Demand P</x:v>
      </x:c>
      <x:c r="C150" s="506"/>
      <x:c r="D150" s="140" t="str">
        <x:v>lb</x:v>
      </x:c>
      <x:c r="E150" s="140" t="str">
        <x:v>ASD service/combo demand at member</x:v>
      </x:c>
    </x:row>
    <x:row r="151" ht="20" customHeight="1">
      <x:c r="B151" s="329" t="str">
        <x:v>Unbraced Length Lx</x:v>
      </x:c>
      <x:c r="C151" s="506"/>
      <x:c r="D151" s="140" t="str">
        <x:v>ft</x:v>
      </x:c>
      <x:c r="E151" s="140" t="str">
        <x:v>Effective-buckling direction associated with section depth d</x:v>
      </x:c>
    </x:row>
    <x:row r="152" ht="20" customHeight="1">
      <x:c r="B152" s="329" t="str">
        <x:v>Unbraced Length Ly</x:v>
      </x:c>
      <x:c r="C152" s="506"/>
      <x:c r="D152" s="140" t="str">
        <x:v>ft</x:v>
      </x:c>
      <x:c r="E152" s="140" t="str">
        <x:v>Effective-buckling direction associated with section width b</x:v>
      </x:c>
    </x:row>
    <x:row r="153" ht="20" customHeight="1">
      <x:c r="B153" s="329" t="str">
        <x:v>Effective Length Factor Ke — X</x:v>
      </x:c>
      <x:c r="C153" s="506"/>
      <x:c r="D153" s="140"/>
      <x:c r="E153" s="140" t="str">
        <x:v>NDS Appendix G / engineering mechanics</x:v>
      </x:c>
    </x:row>
    <x:row r="154" ht="20" customHeight="1">
      <x:c r="B154" s="329" t="str">
        <x:v>Effective Length Factor Ke — Y</x:v>
      </x:c>
      <x:c r="C154" s="506"/>
      <x:c r="D154" s="140"/>
      <x:c r="E154" s="140" t="str">
        <x:v>NDS Appendix G / engineering mechanics</x:v>
      </x:c>
    </x:row>
    <x:row r="155" ht="20" customHeight="1">
      <x:c r="B155" s="329" t="str">
        <x:v>Reference Fc</x:v>
      </x:c>
      <x:c r="C155" s="506"/>
      <x:c r="D155" s="140" t="str">
        <x:v>psi</x:v>
      </x:c>
      <x:c r="E155" s="140" t="str">
        <x:v>Compression parallel to grain from 2024 NDS Supplement / manufacturer</x:v>
      </x:c>
    </x:row>
    <x:row r="156" ht="20" customHeight="1">
      <x:c r="B156" s="329" t="str">
        <x:v>Reference Emin</x:v>
      </x:c>
      <x:c r="C156" s="506"/>
      <x:c r="D156" s="140" t="str">
        <x:v>psi</x:v>
      </x:c>
      <x:c r="E156" s="140" t="str">
        <x:v>Reference minimum modulus for column stability</x:v>
      </x:c>
    </x:row>
    <x:row r="157" ht="20" customHeight="1">
      <x:c r="B157" s="329" t="str">
        <x:v>Load Duration Factor CD — Fc</x:v>
      </x:c>
      <x:c r="C157" s="506"/>
      <x:c r="D157" s="140"/>
      <x:c r="E157" s="140" t="str">
        <x:v>Controlled NDS factor</x:v>
      </x:c>
    </x:row>
    <x:row r="158" ht="20" customHeight="1">
      <x:c r="B158" s="329" t="str">
        <x:v>Wet Service Factor CM — Fc</x:v>
      </x:c>
      <x:c r="C158" s="506"/>
      <x:c r="D158" s="140"/>
      <x:c r="E158" s="140" t="str">
        <x:v>Controlled NDS factor</x:v>
      </x:c>
    </x:row>
    <x:row r="159" ht="20" customHeight="1">
      <x:c r="B159" s="329" t="str">
        <x:v>Temperature Factor Ct — Fc</x:v>
      </x:c>
      <x:c r="C159" s="506"/>
      <x:c r="D159" s="140"/>
      <x:c r="E159" s="140" t="str">
        <x:v>Controlled NDS factor</x:v>
      </x:c>
    </x:row>
    <x:row r="160" ht="20" customHeight="1">
      <x:c r="B160" s="329" t="str">
        <x:v>Size Factor CF — Fc</x:v>
      </x:c>
      <x:c r="C160" s="506"/>
      <x:c r="D160" s="140"/>
      <x:c r="E160" s="140" t="str">
        <x:v>Controlled NDS factor; where applicable</x:v>
      </x:c>
    </x:row>
    <x:row r="161" ht="20" customHeight="1">
      <x:c r="B161" s="329" t="str">
        <x:v>Incising Factor Ci — Fc</x:v>
      </x:c>
      <x:c r="C161" s="506"/>
      <x:c r="D161" s="140"/>
      <x:c r="E161" s="140" t="str">
        <x:v>Controlled NDS factor; where applicable</x:v>
      </x:c>
    </x:row>
    <x:row r="162" ht="20" customHeight="1">
      <x:c r="B162" s="329" t="str">
        <x:v>Wet Service Factor CM — Emin</x:v>
      </x:c>
      <x:c r="C162" s="506"/>
      <x:c r="D162" s="140"/>
      <x:c r="E162" s="140" t="str">
        <x:v>Controlled NDS factor</x:v>
      </x:c>
    </x:row>
    <x:row r="163" ht="20" customHeight="1">
      <x:c r="B163" s="329" t="str">
        <x:v>Temperature Factor Ct — Emin</x:v>
      </x:c>
      <x:c r="C163" s="506"/>
      <x:c r="D163" s="140"/>
      <x:c r="E163" s="140" t="str">
        <x:v>Controlled NDS factor</x:v>
      </x:c>
    </x:row>
    <x:row r="164" ht="20" customHeight="1">
      <x:c r="B164" s="329" t="str">
        <x:v>Incising Factor Ci — Emin</x:v>
      </x:c>
      <x:c r="C164" s="506"/>
      <x:c r="D164" s="140"/>
      <x:c r="E164" s="140" t="str">
        <x:v>Controlled NDS factor; where applicable</x:v>
      </x:c>
    </x:row>
    <x:row r="165" ht="20" customHeight="1">
      <x:c r="B165" s="329" t="str">
        <x:v>Buckling Stiffness Factor CT — Emin</x:v>
      </x:c>
      <x:c r="C165" s="506"/>
      <x:c r="D165" s="140"/>
      <x:c r="E165" s="140" t="str">
        <x:v>Controlled NDS factor; where applicable</x:v>
      </x:c>
    </x:row>
    <x:row r="166" ht="20" customHeight="1">
      <x:c r="B166" s="329" t="str">
        <x:v>Reference Design Value Record</x:v>
      </x:c>
      <x:c r="C166" s="506"/>
      <x:c r="D166" s="140"/>
      <x:c r="E166" s="140" t="str">
        <x:v>NDS Supplement / manufacturer source record ID</x:v>
      </x:c>
    </x:row>
    <x:row r="167" ht="20" customHeight="1">
      <x:c r="B167" s="329" t="str">
        <x:v>Adjustment Factor Record</x:v>
      </x:c>
      <x:c r="C167" s="506"/>
      <x:c r="D167" s="140"/>
      <x:c r="E167" s="140" t="str">
        <x:v>Licensed-standard/source record for selected factors</x:v>
      </x:c>
    </x:row>
    <x:row r="168" ht="20" customHeight="1">
      <x:c r="B168" s="329" t="str">
        <x:v>Column Design Review Status</x:v>
      </x:c>
      <x:c r="C168" s="506"/>
      <x:c r="D168" s="140"/>
      <x:c r="E168" s="140" t="str">
        <x:v>PENDING / REVIEWED</x:v>
      </x:c>
    </x:row>
    <x:row r="169" ht="20" customHeight="1">
      <x:c r="B169" s="329" t="str">
        <x:v>Column Design Review Notes</x:v>
      </x:c>
      <x:c r="C169" s="506"/>
      <x:c r="D169" s="140"/>
      <x:c r="E169" s="140" t="str">
        <x:v>End conditions, bracing, load path, special conditions</x:v>
      </x:c>
    </x:row>
    <x:row r="170" ht="20" customHeight="1">
      <x:c r="B170" s="329" t="str">
        <x:v>Combined Bending / Eccentricity Present?</x:v>
      </x:c>
      <x:c r="C170" s="506"/>
      <x:c r="D170" s="140"/>
      <x:c r="E170" s="140" t="str">
        <x:v>YES requires NDS interaction check outside current axial-only engine</x:v>
      </x:c>
    </x:row>
    <x:row r="171">
      <x:c r="A171"/>
      <x:c r="B171" s="140"/>
      <x:c r="C171" s="506"/>
      <x:c r="D171" s="140"/>
      <x:c r="E171" s="140"/>
    </x:row>
    <x:row r="172">
      <x:c r="A172"/>
      <x:c r="B172" s="394" t="str">
        <x:v>M. SHEAR WALL DESIGN INPUTS</x:v>
      </x:c>
      <x:c r="C172" s="498"/>
      <x:c r="D172" s="394"/>
      <x:c r="E172" s="394"/>
    </x:row>
    <x:row r="173">
      <x:c r="A173"/>
      <x:c r="B173" s="140" t="str">
        <x:v>Wall Line / Panel Mark</x:v>
      </x:c>
      <x:c r="C173" s="508"/>
      <x:c r="D173" s="140"/>
      <x:c r="E173" s="140" t="str">
        <x:v>Schedule identifier, e.g., SW1 or Grid A</x:v>
      </x:c>
    </x:row>
    <x:row r="174">
      <x:c r="A174"/>
      <x:c r="B174" s="140" t="str">
        <x:v>Design Force Type</x:v>
      </x:c>
      <x:c r="C174" s="508"/>
      <x:c r="D174" s="140"/>
      <x:c r="E174" s="140" t="str">
        <x:v>WIND or SEISMIC</x:v>
      </x:c>
    </x:row>
    <x:row r="175">
      <x:c r="A175"/>
      <x:c r="B175" s="140" t="str">
        <x:v>Wall Design Method</x:v>
      </x:c>
      <x:c r="C175" s="508"/>
      <x:c r="D175" s="140"/>
      <x:c r="E175" s="140" t="str">
        <x:v>SEGMENTED / FTAO / PERFORATED</x:v>
      </x:c>
    </x:row>
    <x:row r="176">
      <x:c r="A176"/>
      <x:c r="B176" s="140" t="str">
        <x:v>Sheathing System</x:v>
      </x:c>
      <x:c r="C176" s="508"/>
      <x:c r="D176" s="140"/>
      <x:c r="E176" s="140" t="str">
        <x:v>WSP / Structural Fiberboard / Other</x:v>
      </x:c>
    </x:row>
    <x:row r="177">
      <x:c r="A177"/>
      <x:c r="B177" s="140" t="str">
        <x:v>Wall-Line Shear Demand V</x:v>
      </x:c>
      <x:c r="C177" s="508"/>
      <x:c r="D177" s="140" t="str">
        <x:v>lb</x:v>
      </x:c>
      <x:c r="E177" s="140" t="str">
        <x:v>ASD design shear assigned to this wall line</x:v>
      </x:c>
    </x:row>
    <x:row r="178">
      <x:c r="A178"/>
      <x:c r="B178" s="140" t="str">
        <x:v>Story / Wall Height h</x:v>
      </x:c>
      <x:c r="C178" s="508"/>
      <x:c r="D178" s="140" t="str">
        <x:v>ft</x:v>
      </x:c>
      <x:c r="E178" s="140" t="str">
        <x:v>Shear wall height</x:v>
      </x:c>
    </x:row>
    <x:row r="179">
      <x:c r="A179"/>
      <x:c r="B179" s="140" t="str">
        <x:v>Full-Height Effective Shear Length Σb</x:v>
      </x:c>
      <x:c r="C179" s="508"/>
      <x:c r="D179" s="140" t="str">
        <x:v>ft</x:v>
      </x:c>
      <x:c r="E179" s="140" t="str">
        <x:v>Sum of full-height/effective shear wall lengths</x:v>
      </x:c>
    </x:row>
    <x:row r="180">
      <x:c r="A180"/>
      <x:c r="B180" s="140" t="str">
        <x:v>Governing Segment Width b</x:v>
      </x:c>
      <x:c r="C180" s="508"/>
      <x:c r="D180" s="140" t="str">
        <x:v>ft</x:v>
      </x:c>
      <x:c r="E180" s="140" t="str">
        <x:v>Full-height segment width used for aspect ratio/deflection</x:v>
      </x:c>
    </x:row>
    <x:row r="181">
      <x:c r="A181"/>
      <x:c r="B181" s="140" t="str">
        <x:v>Nominal Unit Shear Capacity vn</x:v>
      </x:c>
      <x:c r="C181" s="508"/>
      <x:c r="D181" s="140" t="str">
        <x:v>plf</x:v>
      </x:c>
      <x:c r="E181" s="140" t="str">
        <x:v>2021 SDPWS table / approved ESR / manufacturer source</x:v>
      </x:c>
    </x:row>
    <x:row r="182">
      <x:c r="A182"/>
      <x:c r="B182" s="140" t="str">
        <x:v>Apparent Shear Stiffness Ga</x:v>
      </x:c>
      <x:c r="C182" s="508"/>
      <x:c r="D182" s="140" t="str">
        <x:v>kips/in</x:v>
      </x:c>
      <x:c r="E182" s="140" t="str">
        <x:v>2021 SDPWS table / approved source</x:v>
      </x:c>
    </x:row>
    <x:row r="183">
      <x:c r="A183"/>
      <x:c r="B183" s="140" t="str">
        <x:v>End-Post Modulus E</x:v>
      </x:c>
      <x:c r="C183" s="508"/>
      <x:c r="D183" s="140" t="str">
        <x:v>psi</x:v>
      </x:c>
      <x:c r="E183" s="140" t="str">
        <x:v>NDS / manufacturer source</x:v>
      </x:c>
    </x:row>
    <x:row r="184">
      <x:c r="A184"/>
      <x:c r="B184" s="140" t="str">
        <x:v>End-Post Area A</x:v>
      </x:c>
      <x:c r="C184" s="508"/>
      <x:c r="D184" s="140" t="str">
        <x:v>in²</x:v>
      </x:c>
      <x:c r="E184" s="140" t="str">
        <x:v>Combined end-post area used in deflection equation</x:v>
      </x:c>
    </x:row>
    <x:row r="185">
      <x:c r="A185"/>
      <x:c r="B185" s="140" t="str">
        <x:v>Anchorage Vertical Deformation Δa</x:v>
      </x:c>
      <x:c r="C185" s="508"/>
      <x:c r="D185" s="140" t="str">
        <x:v>in</x:v>
      </x:c>
      <x:c r="E185" s="140" t="str">
        <x:v>Hold-down/rod/connection/shrinkage deformation at demand</x:v>
      </x:c>
    </x:row>
    <x:row r="186">
      <x:c r="A186"/>
      <x:c r="B186" s="140" t="str">
        <x:v>Other Capacity Adjustment Factor Cother</x:v>
      </x:c>
      <x:c r="C186" s="508"/>
      <x:c r="D186" s="140"/>
      <x:c r="E186" s="140" t="str">
        <x:v>Product of applicable sourced factors not automated here</x:v>
      </x:c>
    </x:row>
    <x:row r="187">
      <x:c r="A187"/>
      <x:c r="B187" s="140" t="str">
        <x:v>Permissible Wall Deflection</x:v>
      </x:c>
      <x:c r="C187" s="508"/>
      <x:c r="D187" s="140" t="str">
        <x:v>in</x:v>
      </x:c>
      <x:c r="E187" s="140" t="str">
        <x:v>Project/code drift or attached-element criterion</x:v>
      </x:c>
    </x:row>
    <x:row r="188">
      <x:c r="A188"/>
      <x:c r="B188" s="140" t="str">
        <x:v>Shear Wall Capacity Source Record</x:v>
      </x:c>
      <x:c r="C188" s="508"/>
      <x:c r="D188" s="140"/>
      <x:c r="E188" s="140" t="str">
        <x:v>Source ID / table / ESR / manufacturer report</x:v>
      </x:c>
    </x:row>
    <x:row r="189">
      <x:c r="A189"/>
      <x:c r="B189" s="140" t="str">
        <x:v>Shear Wall Stiffness Source Record</x:v>
      </x:c>
      <x:c r="C189" s="508"/>
      <x:c r="D189" s="140"/>
      <x:c r="E189" s="140" t="str">
        <x:v>Source ID / Ga basis</x:v>
      </x:c>
    </x:row>
    <x:row r="190">
      <x:c r="A190"/>
      <x:c r="B190" s="140" t="str">
        <x:v>Shear Wall Review Notes</x:v>
      </x:c>
      <x:c r="C190" s="508"/>
      <x:c r="D190" s="140"/>
      <x:c r="E190" s="140" t="str">
        <x:v>Openings, two-sided walls, collectors, boundary elements, etc.</x:v>
      </x:c>
    </x:row>
    <x:row r="191">
      <x:c r="A191"/>
      <x:c r="B191" s="140"/>
      <x:c r="C191" s="506"/>
      <x:c r="D191" s="140"/>
      <x:c r="E191" s="140"/>
    </x:row>
    <x:row r="192">
      <x:c r="A192"/>
      <x:c r="B192" s="394" t="str">
        <x:v>N. DIAPHRAGM DESIGN INPUTS</x:v>
      </x:c>
      <x:c r="C192" s="498"/>
      <x:c r="D192" s="394"/>
      <x:c r="E192" s="394"/>
    </x:row>
    <x:row r="193">
      <x:c r="A193"/>
      <x:c r="B193" s="394" t="str">
        <x:v>Diaphragm Mark</x:v>
      </x:c>
      <x:c r="C193" s="493"/>
      <x:c r="D193" s="394"/>
      <x:c r="E193" s="394" t="str">
        <x:v>Schedule identifier, e.g., D1 / Roof</x:v>
      </x:c>
    </x:row>
    <x:row r="194">
      <x:c r="A194"/>
      <x:c r="B194" s="140" t="str">
        <x:v>Design Force Type</x:v>
      </x:c>
      <x:c r="C194" s="508"/>
      <x:c r="D194" s="140"/>
      <x:c r="E194" s="140" t="str">
        <x:v>WIND or SEISMIC</x:v>
      </x:c>
    </x:row>
    <x:row r="195">
      <x:c r="A195"/>
      <x:c r="B195" s="140" t="str">
        <x:v>Diaphragm Configuration</x:v>
      </x:c>
      <x:c r="C195" s="508"/>
      <x:c r="D195" s="140"/>
      <x:c r="E195" s="140" t="str">
        <x:v>SIMPLY SUPPORTED UDL / CANTILEVER UDL / CANTILEVER TIP LOAD</x:v>
      </x:c>
    </x:row>
    <x:row r="196">
      <x:c r="A196"/>
      <x:c r="B196" s="140" t="str">
        <x:v>Induced Unit Shear v</x:v>
      </x:c>
      <x:c r="C196" s="508"/>
      <x:c r="D196" s="140" t="str">
        <x:v>plf</x:v>
      </x:c>
      <x:c r="E196" s="140" t="str">
        <x:v>Maximum induced unit shear from lateral analysis</x:v>
      </x:c>
    </x:row>
    <x:row r="197">
      <x:c r="A197"/>
      <x:c r="B197" s="140" t="str">
        <x:v>Diaphragm Length L</x:v>
      </x:c>
      <x:c r="C197" s="508"/>
      <x:c r="D197" s="140" t="str">
        <x:v>ft</x:v>
      </x:c>
      <x:c r="E197" s="140" t="str">
        <x:v>Dimension perpendicular to applied force</x:v>
      </x:c>
    </x:row>
    <x:row r="198">
      <x:c r="A198"/>
      <x:c r="B198" s="140" t="str">
        <x:v>Diaphragm Width W</x:v>
      </x:c>
      <x:c r="C198" s="508"/>
      <x:c r="D198" s="140" t="str">
        <x:v>ft</x:v>
      </x:c>
      <x:c r="E198" s="140" t="str">
        <x:v>Width in direction of applied force</x:v>
      </x:c>
    </x:row>
    <x:row r="199">
      <x:c r="A199"/>
      <x:c r="B199" s="140" t="str">
        <x:v>Nominal Unit Shear Capacity vn</x:v>
      </x:c>
      <x:c r="C199" s="508"/>
      <x:c r="D199" s="140" t="str">
        <x:v>plf</x:v>
      </x:c>
      <x:c r="E199" s="140" t="str">
        <x:v>2021 SDPWS table / approved ESR / manufacturer source</x:v>
      </x:c>
    </x:row>
    <x:row r="200">
      <x:c r="A200"/>
      <x:c r="B200" s="140" t="str">
        <x:v>Apparent Shear Stiffness Ga</x:v>
      </x:c>
      <x:c r="C200" s="508"/>
      <x:c r="D200" s="140" t="str">
        <x:v>kips/in</x:v>
      </x:c>
      <x:c r="E200" s="140" t="str">
        <x:v>2021 SDPWS table / approved source</x:v>
      </x:c>
    </x:row>
    <x:row r="201">
      <x:c r="A201"/>
      <x:c r="B201" s="140" t="str">
        <x:v>Chord Modulus E</x:v>
      </x:c>
      <x:c r="C201" s="508"/>
      <x:c r="D201" s="140" t="str">
        <x:v>psi</x:v>
      </x:c>
      <x:c r="E201" s="140" t="str">
        <x:v>NDS / manufacturer source</x:v>
      </x:c>
    </x:row>
    <x:row r="202">
      <x:c r="A202"/>
      <x:c r="B202" s="140" t="str">
        <x:v>Chord Area A</x:v>
      </x:c>
      <x:c r="C202" s="508"/>
      <x:c r="D202" s="140" t="str">
        <x:v>in²</x:v>
      </x:c>
      <x:c r="E202" s="140" t="str">
        <x:v>Effective chord cross-sectional area</x:v>
      </x:c>
    </x:row>
    <x:row r="203">
      <x:c r="A203"/>
      <x:c r="B203" s="140" t="str">
        <x:v>Chord Slip Sum Σ(xΔc)</x:v>
      </x:c>
      <x:c r="C203" s="508"/>
      <x:c r="D203" s="140" t="str">
        <x:v>ft-in</x:v>
      </x:c>
      <x:c r="E203" s="140" t="str">
        <x:v>Sum of distance-to-support × splice slip terms</x:v>
      </x:c>
    </x:row>
    <x:row r="204">
      <x:c r="A204"/>
      <x:c r="B204" s="140" t="str">
        <x:v>Other Capacity Adjustment Factor Cother</x:v>
      </x:c>
      <x:c r="C204" s="508"/>
      <x:c r="D204" s="140"/>
      <x:c r="E204" s="140" t="str">
        <x:v>Product of applicable sourced factors not automated here</x:v>
      </x:c>
    </x:row>
    <x:row r="205">
      <x:c r="A205"/>
      <x:c r="B205" s="140" t="str">
        <x:v>Maximum Permitted Aspect Ratio</x:v>
      </x:c>
      <x:c r="C205" s="508"/>
      <x:c r="D205" s="140"/>
      <x:c r="E205" s="140" t="str">
        <x:v>Controlled value from SDPWS table / assembly type</x:v>
      </x:c>
    </x:row>
    <x:row r="206">
      <x:c r="A206"/>
      <x:c r="B206" s="140" t="str">
        <x:v>Permissible Diaphragm Deflection</x:v>
      </x:c>
      <x:c r="C206" s="508"/>
      <x:c r="D206" s="140" t="str">
        <x:v>in</x:v>
      </x:c>
      <x:c r="E206" s="140" t="str">
        <x:v>Project/code/attached-element criterion</x:v>
      </x:c>
    </x:row>
    <x:row r="207">
      <x:c r="A207"/>
      <x:c r="B207" s="140" t="str">
        <x:v>Diaphragm Capacity Source Record</x:v>
      </x:c>
      <x:c r="C207" s="508"/>
      <x:c r="D207" s="140"/>
      <x:c r="E207" s="140" t="str">
        <x:v>Source ID / table / ESR / manufacturer report</x:v>
      </x:c>
    </x:row>
    <x:row r="208">
      <x:c r="A208"/>
      <x:c r="B208" s="140" t="str">
        <x:v>Diaphragm Stiffness Source Record</x:v>
      </x:c>
      <x:c r="C208" s="508"/>
      <x:c r="D208" s="140"/>
      <x:c r="E208" s="140" t="str">
        <x:v>Source ID / Ga basis</x:v>
      </x:c>
    </x:row>
    <x:row r="209">
      <x:c r="A209"/>
      <x:c r="B209" s="140" t="str">
        <x:v>Diaphragm Review Notes</x:v>
      </x:c>
      <x:c r="C209" s="508"/>
      <x:c r="D209" s="140"/>
      <x:c r="E209" s="140" t="str">
        <x:v>Collectors, chords, openings, torsion, irregularity, etc.</x:v>
      </x:c>
    </x:row>
    <x:row r="210">
      <x:c r="A210"/>
      <x:c r="B210" s="140"/>
      <x:c r="C210" s="506"/>
      <x:c r="D210" s="140"/>
      <x:c r="E210" s="140"/>
    </x:row>
    <x:row r="211">
      <x:c r="A211"/>
      <x:c r="B211" s="437" t="str">
        <x:v>O. GENERAL WOOD CONNECTION INPUTS</x:v>
      </x:c>
      <x:c r="C211" s="498"/>
      <x:c r="D211" s="437"/>
      <x:c r="E211" s="437"/>
    </x:row>
    <x:row r="212">
      <x:c r="A212"/>
      <x:c r="B212" s="140" t="str">
        <x:v>Connection Mark</x:v>
      </x:c>
      <x:c r="C212" s="508"/>
      <x:c r="D212" s="140"/>
      <x:c r="E212" s="140" t="str">
        <x:v>Schedule identifier, e.g., CN1</x:v>
      </x:c>
    </x:row>
    <x:row r="213">
      <x:c r="A213"/>
      <x:c r="B213" s="140" t="str">
        <x:v>Connection Use</x:v>
      </x:c>
      <x:c r="C213" s="508"/>
      <x:c r="D213" s="140"/>
      <x:c r="E213" s="140" t="str">
        <x:v>Beam seat / collector splice / blocking / strap / other</x:v>
      </x:c>
    </x:row>
    <x:row r="214">
      <x:c r="A214"/>
      <x:c r="B214" s="140" t="str">
        <x:v>Material Pair</x:v>
      </x:c>
      <x:c r="C214" s="508"/>
      <x:c r="D214" s="140"/>
      <x:c r="E214" s="140" t="str">
        <x:v>WOOD-WOOD / WOOD-METAL / OTHER</x:v>
      </x:c>
    </x:row>
    <x:row r="215">
      <x:c r="A215"/>
      <x:c r="B215" s="140" t="str">
        <x:v>Fastener Type</x:v>
      </x:c>
      <x:c r="C215" s="508"/>
      <x:c r="D215" s="140"/>
      <x:c r="E215" s="140" t="str">
        <x:v>BOLT / LAG SCREW / WOOD SCREW / NAIL / OTHER</x:v>
      </x:c>
    </x:row>
    <x:row r="216">
      <x:c r="A216"/>
      <x:c r="B216" s="140" t="str">
        <x:v>Load Mode</x:v>
      </x:c>
      <x:c r="C216" s="508"/>
      <x:c r="D216" s="140"/>
      <x:c r="E216" s="140" t="str">
        <x:v>LATERAL / WITHDRAWAL / COMBINED</x:v>
      </x:c>
    </x:row>
    <x:row r="217">
      <x:c r="A217"/>
      <x:c r="B217" s="140" t="str">
        <x:v>Lateral Demand V</x:v>
      </x:c>
      <x:c r="C217" s="508"/>
      <x:c r="D217" s="140" t="str">
        <x:v>lb</x:v>
      </x:c>
      <x:c r="E217" s="140" t="str">
        <x:v>ASD connection shear demand</x:v>
      </x:c>
    </x:row>
    <x:row r="218">
      <x:c r="A218"/>
      <x:c r="B218" s="140" t="str">
        <x:v>Withdrawal / Tension Demand T</x:v>
      </x:c>
      <x:c r="C218" s="508"/>
      <x:c r="D218" s="140" t="str">
        <x:v>lb</x:v>
      </x:c>
      <x:c r="E218" s="140" t="str">
        <x:v>ASD axial/withdrawal demand</x:v>
      </x:c>
    </x:row>
    <x:row r="219">
      <x:c r="A219"/>
      <x:c r="B219" s="140" t="str">
        <x:v>Fastener Diameter D</x:v>
      </x:c>
      <x:c r="C219" s="508"/>
      <x:c r="D219" s="140" t="str">
        <x:v>in</x:v>
      </x:c>
      <x:c r="E219" s="140" t="str">
        <x:v>Actual shank/dowel diameter used for group-action calculation</x:v>
      </x:c>
    </x:row>
    <x:row r="220">
      <x:c r="A220"/>
      <x:c r="B220" s="140" t="str">
        <x:v>Fasteners in Row n</x:v>
      </x:c>
      <x:c r="C220" s="508"/>
      <x:c r="D220" s="140" t="str">
        <x:v>count</x:v>
      </x:c>
      <x:c r="E220" s="140" t="str">
        <x:v>Number of fasteners in the load direction row</x:v>
      </x:c>
    </x:row>
    <x:row r="221">
      <x:c r="A221"/>
      <x:c r="B221" s="140" t="str">
        <x:v>Fastener Spacing s</x:v>
      </x:c>
      <x:c r="C221" s="508"/>
      <x:c r="D221" s="140" t="str">
        <x:v>in</x:v>
      </x:c>
      <x:c r="E221" s="140" t="str">
        <x:v>Center-to-center spacing in row</x:v>
      </x:c>
    </x:row>
    <x:row r="222">
      <x:c r="A222"/>
      <x:c r="B222" s="140" t="str">
        <x:v>Main Member E</x:v>
      </x:c>
      <x:c r="C222" s="508"/>
      <x:c r="D222" s="140" t="str">
        <x:v>psi</x:v>
      </x:c>
      <x:c r="E222" s="140" t="str">
        <x:v>Modulus for group-action factor</x:v>
      </x:c>
    </x:row>
    <x:row r="223">
      <x:c r="A223"/>
      <x:c r="B223" s="140" t="str">
        <x:v>Main Member Gross Area Am</x:v>
      </x:c>
      <x:c r="C223" s="508"/>
      <x:c r="D223" s="140" t="str">
        <x:v>in²</x:v>
      </x:c>
      <x:c r="E223" s="140" t="str">
        <x:v>Gross member area for group-action factor</x:v>
      </x:c>
    </x:row>
    <x:row r="224">
      <x:c r="A224"/>
      <x:c r="B224" s="140" t="str">
        <x:v>Side Member E</x:v>
      </x:c>
      <x:c r="C224" s="508"/>
      <x:c r="D224" s="140" t="str">
        <x:v>psi</x:v>
      </x:c>
      <x:c r="E224" s="140" t="str">
        <x:v>Wood or metal modulus as applicable</x:v>
      </x:c>
    </x:row>
    <x:row r="225">
      <x:c r="A225"/>
      <x:c r="B225" s="140" t="str">
        <x:v>Side Member Gross Area As</x:v>
      </x:c>
      <x:c r="C225" s="508"/>
      <x:c r="D225" s="140" t="str">
        <x:v>in²</x:v>
      </x:c>
      <x:c r="E225" s="140" t="str">
        <x:v>Sum of gross side-member areas</x:v>
      </x:c>
    </x:row>
    <x:row r="226">
      <x:c r="A226"/>
      <x:c r="B226" s="140" t="str">
        <x:v>Single-Fastener Allowable Lateral Z′</x:v>
      </x:c>
      <x:c r="C226" s="508"/>
      <x:c r="D226" s="140" t="str">
        <x:v>lb</x:v>
      </x:c>
      <x:c r="E226" s="140" t="str">
        <x:v>AWC 2024 NDS Connection Calculator / approved source</x:v>
      </x:c>
    </x:row>
    <x:row r="227">
      <x:c r="A227"/>
      <x:c r="B227" s="140" t="str">
        <x:v>Single-Fastener Allowable Withdrawal W′</x:v>
      </x:c>
      <x:c r="C227" s="508"/>
      <x:c r="D227" s="140" t="str">
        <x:v>lb</x:v>
      </x:c>
      <x:c r="E227" s="140" t="str">
        <x:v>AWC 2024 NDS Connection Calculator / approved source</x:v>
      </x:c>
    </x:row>
    <x:row r="228">
      <x:c r="A228"/>
      <x:c r="B228" s="140" t="str">
        <x:v>Single-Fastener Head Pull-Through Pt′</x:v>
      </x:c>
      <x:c r="C228" s="508"/>
      <x:c r="D228" s="140" t="str">
        <x:v>lb</x:v>
      </x:c>
      <x:c r="E228" s="140" t="str">
        <x:v>Required where applicable for nails/wood screws in withdrawal</x:v>
      </x:c>
    </x:row>
    <x:row r="229">
      <x:c r="A229"/>
      <x:c r="B229" s="140" t="str">
        <x:v>Other Connection Factor Cother</x:v>
      </x:c>
      <x:c r="C229" s="508"/>
      <x:c r="D229" s="140"/>
      <x:c r="E229" s="140" t="str">
        <x:v>Product of applicable sourced factors not already in Z′/W′</x:v>
      </x:c>
    </x:row>
    <x:row r="230">
      <x:c r="A230"/>
      <x:c r="B230" s="140" t="str">
        <x:v>Connection Capacity Source Record</x:v>
      </x:c>
      <x:c r="C230" s="508"/>
      <x:c r="D230" s="140"/>
      <x:c r="E230" s="140" t="str">
        <x:v>AWC calculator record / ESR / manufacturer / engineered calc</x:v>
      </x:c>
    </x:row>
    <x:row r="231">
      <x:c r="A231"/>
      <x:c r="B231" s="140" t="str">
        <x:v>Connection Review Notes</x:v>
      </x:c>
      <x:c r="C231" s="508"/>
      <x:c r="D231" s="140"/>
      <x:c r="E231" s="140" t="str">
        <x:v>End distance, edge distance, spacing, steel plate, fire/corrosion, etc.</x:v>
      </x:c>
    </x:row>
    <x:row r="232">
      <x:c r="A232"/>
      <x:c r="B232" s="140"/>
      <x:c r="C232" s="506"/>
      <x:c r="D232" s="140"/>
      <x:c r="E232" s="140"/>
    </x:row>
    <x:row r="233">
      <x:c r="A233"/>
      <x:c r="B233" s="140" t="str">
        <x:v>P. HOLDOWN / TENSION-TIE INPUTS</x:v>
      </x:c>
      <x:c r="C233" s="506"/>
      <x:c r="D233" s="140"/>
      <x:c r="E233" s="140"/>
    </x:row>
    <x:row r="234">
      <x:c r="A234"/>
      <x:c r="B234" s="437" t="str">
        <x:v>Holdown Mark</x:v>
      </x:c>
      <x:c r="C234" s="498"/>
      <x:c r="D234" s="437"/>
      <x:c r="E234" s="437" t="str">
        <x:v>Schedule identifier, e.g., HD1</x:v>
      </x:c>
    </x:row>
    <x:row r="235">
      <x:c r="A235"/>
      <x:c r="B235" s="140" t="str">
        <x:v>Associated Wall Line</x:v>
      </x:c>
      <x:c r="C235" s="508"/>
      <x:c r="D235" s="140"/>
      <x:c r="E235" s="140" t="str">
        <x:v>Wall / grid reference</x:v>
      </x:c>
    </x:row>
    <x:row r="236">
      <x:c r="A236"/>
      <x:c r="B236" s="140" t="str">
        <x:v>Holdown Product / Type</x:v>
      </x:c>
      <x:c r="C236" s="508"/>
      <x:c r="D236" s="140"/>
      <x:c r="E236" s="140" t="str">
        <x:v>Manufacturer/model or engineered tension tie</x:v>
      </x:c>
    </x:row>
    <x:row r="237">
      <x:c r="A237"/>
      <x:c r="B237" s="140" t="str">
        <x:v>Tension Demand T</x:v>
      </x:c>
      <x:c r="C237" s="508"/>
      <x:c r="D237" s="140" t="str">
        <x:v>lb</x:v>
      </x:c>
      <x:c r="E237" s="140" t="str">
        <x:v>ASD overturning/tension demand</x:v>
      </x:c>
    </x:row>
    <x:row r="238">
      <x:c r="A238"/>
      <x:c r="B238" s="140" t="str">
        <x:v>Published Allowable Tension</x:v>
      </x:c>
      <x:c r="C238" s="508"/>
      <x:c r="D238" s="140" t="str">
        <x:v>lb</x:v>
      </x:c>
      <x:c r="E238" s="140" t="str">
        <x:v>Current evaluation report / manufacturer table</x:v>
      </x:c>
    </x:row>
    <x:row r="239">
      <x:c r="A239"/>
      <x:c r="B239" s="140" t="str">
        <x:v>Published Deflection at Allowable Load</x:v>
      </x:c>
      <x:c r="C239" s="508"/>
      <x:c r="D239" s="140" t="str">
        <x:v>in</x:v>
      </x:c>
      <x:c r="E239" s="140" t="str">
        <x:v>Product test data at the published allowable load</x:v>
      </x:c>
    </x:row>
    <x:row r="240">
      <x:c r="A240"/>
      <x:c r="B240" s="140" t="str">
        <x:v>Reference Rod Height Included in Test</x:v>
      </x:c>
      <x:c r="C240" s="508"/>
      <x:c r="D240" s="140" t="str">
        <x:v>in</x:v>
      </x:c>
      <x:c r="E240" s="140" t="str">
        <x:v>Height/free length included in published deformation basis</x:v>
      </x:c>
    </x:row>
    <x:row r="241">
      <x:c r="A241"/>
      <x:c r="B241" s="140" t="str">
        <x:v>Actual Anchor-Rod Free Length</x:v>
      </x:c>
      <x:c r="C241" s="508"/>
      <x:c r="D241" s="140" t="str">
        <x:v>in</x:v>
      </x:c>
      <x:c r="E241" s="140" t="str">
        <x:v>Actual free rod length above/between restraint points</x:v>
      </x:c>
    </x:row>
    <x:row r="242">
      <x:c r="A242"/>
      <x:c r="B242" s="140" t="str">
        <x:v>Anchor-Rod Tensile Area A</x:v>
      </x:c>
      <x:c r="C242" s="508"/>
      <x:c r="D242" s="140" t="str">
        <x:v>in²</x:v>
      </x:c>
      <x:c r="E242" s="140" t="str">
        <x:v>Effective tensile area for elongation calculation</x:v>
      </x:c>
    </x:row>
    <x:row r="243">
      <x:c r="A243"/>
      <x:c r="B243" s="140" t="str">
        <x:v>Anchor-Rod Modulus E</x:v>
      </x:c>
      <x:c r="C243" s="508"/>
      <x:c r="D243" s="140" t="str">
        <x:v>psi</x:v>
      </x:c>
      <x:c r="E243" s="140" t="str">
        <x:v>Steel elastic modulus / source</x:v>
      </x:c>
    </x:row>
    <x:row r="244">
      <x:c r="A244"/>
      <x:c r="B244" s="140" t="str">
        <x:v>Post / Boundary Member Allowable Tension</x:v>
      </x:c>
      <x:c r="C244" s="508"/>
      <x:c r="D244" s="140" t="str">
        <x:v>lb</x:v>
      </x:c>
      <x:c r="E244" s="140" t="str">
        <x:v>NDS/member design capacity at holdown connection</x:v>
      </x:c>
    </x:row>
    <x:row r="245">
      <x:c r="A245"/>
      <x:c r="B245" s="140" t="str">
        <x:v>Other Holdown Factor Cother</x:v>
      </x:c>
      <x:c r="C245" s="508"/>
      <x:c r="D245" s="140"/>
      <x:c r="E245" s="140" t="str">
        <x:v>Sourced reduction factor if applicable; otherwise 1.0</x:v>
      </x:c>
    </x:row>
    <x:row r="246">
      <x:c r="A246"/>
      <x:c r="B246" s="140" t="str">
        <x:v>Holdown Source Record</x:v>
      </x:c>
      <x:c r="C246" s="508"/>
      <x:c r="D246" s="140"/>
      <x:c r="E246" s="140" t="str">
        <x:v>ESR / manufacturer catalog / test report</x:v>
      </x:c>
    </x:row>
    <x:row r="247">
      <x:c r="A247"/>
      <x:c r="B247" s="140" t="str">
        <x:v>Concrete Anchor Design Record</x:v>
      </x:c>
      <x:c r="C247" s="508"/>
      <x:c r="D247" s="140"/>
      <x:c r="E247" s="140" t="str">
        <x:v>ACI / ESR / engineered anchor calculation reference</x:v>
      </x:c>
    </x:row>
    <x:row r="248">
      <x:c r="A248"/>
      <x:c r="B248" s="140" t="str">
        <x:v>Holdown Review Notes</x:v>
      </x:c>
      <x:c r="C248" s="508"/>
      <x:c r="D248" s="140"/>
      <x:c r="E248" s="140" t="str">
        <x:v>Post net section, washer/nut, concrete breakout, installation height, etc.</x:v>
      </x:c>
    </x:row>
    <x:row r="249">
      <x:c r="A249"/>
      <x:c r="B249" s="140"/>
      <x:c r="C249" s="508"/>
      <x:c r="D249" s="140"/>
      <x:c r="E249" s="140"/>
    </x:row>
    <x:row r="250">
      <x:c r="A250"/>
      <x:c r="B250" s="140" t="str">
        <x:v>Q. SILL / ANCHOR INPUTS</x:v>
      </x:c>
      <x:c r="C250" s="506"/>
      <x:c r="D250" s="140"/>
      <x:c r="E250" s="140"/>
    </x:row>
    <x:row r="251">
      <x:c r="A251"/>
      <x:c r="B251" s="437" t="str">
        <x:v>Anchor Line Mark</x:v>
      </x:c>
      <x:c r="C251" s="498"/>
      <x:c r="D251" s="437"/>
      <x:c r="E251" s="437" t="str">
        <x:v>Schedule identifier, e.g., AB1</x:v>
      </x:c>
    </x:row>
    <x:row r="252">
      <x:c r="A252"/>
      <x:c r="B252" s="140" t="str">
        <x:v>Associated Wall Line</x:v>
      </x:c>
      <x:c r="C252" s="508"/>
      <x:c r="D252" s="140"/>
      <x:c r="E252" s="140" t="str">
        <x:v>Wall / grid reference</x:v>
      </x:c>
    </x:row>
    <x:row r="253">
      <x:c r="A253"/>
      <x:c r="B253" s="140" t="str">
        <x:v>Anchor Type</x:v>
      </x:c>
      <x:c r="C253" s="508"/>
      <x:c r="D253" s="140"/>
      <x:c r="E253" s="140" t="str">
        <x:v>CAST-IN / MECHANICAL / ADHESIVE / OTHER</x:v>
      </x:c>
    </x:row>
    <x:row r="254">
      <x:c r="A254"/>
      <x:c r="B254" s="140" t="str">
        <x:v>Wall-Line Shear Demand V</x:v>
      </x:c>
      <x:c r="C254" s="508"/>
      <x:c r="D254" s="140" t="str">
        <x:v>lb</x:v>
      </x:c>
      <x:c r="E254" s="140" t="str">
        <x:v>ASD shear transferred through sill/anchor line</x:v>
      </x:c>
    </x:row>
    <x:row r="255">
      <x:c r="A255"/>
      <x:c r="B255" s="140" t="str">
        <x:v>Wall-Line Uplift Demand T</x:v>
      </x:c>
      <x:c r="C255" s="508"/>
      <x:c r="D255" s="140" t="str">
        <x:v>lb</x:v>
      </x:c>
      <x:c r="E255" s="140" t="str">
        <x:v>ASD tension demand if applicable</x:v>
      </x:c>
    </x:row>
    <x:row r="256">
      <x:c r="A256"/>
      <x:c r="B256" s="140" t="str">
        <x:v>Anchored Length L</x:v>
      </x:c>
      <x:c r="C256" s="508"/>
      <x:c r="D256" s="140" t="str">
        <x:v>ft</x:v>
      </x:c>
      <x:c r="E256" s="140" t="str">
        <x:v>Length over which anchors are distributed</x:v>
      </x:c>
    </x:row>
    <x:row r="257">
      <x:c r="A257"/>
      <x:c r="B257" s="140" t="str">
        <x:v>Single-Anchor Allowable Shear</x:v>
      </x:c>
      <x:c r="C257" s="508"/>
      <x:c r="D257" s="140" t="str">
        <x:v>lb</x:v>
      </x:c>
      <x:c r="E257" s="140" t="str">
        <x:v>Approved concrete/anchor design or ESR</x:v>
      </x:c>
    </x:row>
    <x:row r="258">
      <x:c r="A258"/>
      <x:c r="B258" s="140" t="str">
        <x:v>Single-Anchor Allowable Tension</x:v>
      </x:c>
      <x:c r="C258" s="508"/>
      <x:c r="D258" s="140" t="str">
        <x:v>lb</x:v>
      </x:c>
      <x:c r="E258" s="140" t="str">
        <x:v>Approved concrete/anchor design or ESR</x:v>
      </x:c>
    </x:row>
    <x:row r="259">
      <x:c r="A259"/>
      <x:c r="B259" s="140" t="str">
        <x:v>Anchors Provided n</x:v>
      </x:c>
      <x:c r="C259" s="508"/>
      <x:c r="D259" s="140" t="str">
        <x:v>count</x:v>
      </x:c>
      <x:c r="E259" s="140" t="str">
        <x:v>Number of effective anchors</x:v>
      </x:c>
    </x:row>
    <x:row r="260">
      <x:c r="A260"/>
      <x:c r="B260" s="140" t="str">
        <x:v>Other Anchor Factor Cother</x:v>
      </x:c>
      <x:c r="C260" s="508"/>
      <x:c r="D260" s="140"/>
      <x:c r="E260" s="140" t="str">
        <x:v>Sourced reduction factor if applicable; otherwise 1.0</x:v>
      </x:c>
    </x:row>
    <x:row r="261">
      <x:c r="A261"/>
      <x:c r="B261" s="140" t="str">
        <x:v>Maximum Permitted Spacing</x:v>
      </x:c>
      <x:c r="C261" s="508"/>
      <x:c r="D261" s="140" t="str">
        <x:v>in</x:v>
      </x:c>
      <x:c r="E261" s="140" t="str">
        <x:v>Code / engineered detail / evaluation report</x:v>
      </x:c>
    </x:row>
    <x:row r="262">
      <x:c r="A262"/>
      <x:c r="B262" s="140" t="str">
        <x:v>Anchor Capacity Source Record</x:v>
      </x:c>
      <x:c r="C262" s="508"/>
      <x:c r="D262" s="140"/>
      <x:c r="E262" s="140" t="str">
        <x:v>ACI/ESR/manufacturer/engineered design reference</x:v>
      </x:c>
    </x:row>
    <x:row r="263">
      <x:c r="A263"/>
      <x:c r="B263" s="140" t="str">
        <x:v>Edge / End Distance Review</x:v>
      </x:c>
      <x:c r="C263" s="508"/>
      <x:c r="D263" s="140"/>
      <x:c r="E263" s="140" t="str">
        <x:v>REVIEWED / PENDING</x:v>
      </x:c>
    </x:row>
    <x:row r="264">
      <x:c r="A264"/>
      <x:c r="B264" s="140" t="str">
        <x:v>Concrete Failure-Mode Review</x:v>
      </x:c>
      <x:c r="C264" s="508"/>
      <x:c r="D264" s="140"/>
      <x:c r="E264" s="140" t="str">
        <x:v>REVIEWED / PENDING</x:v>
      </x:c>
    </x:row>
    <x:row r="265">
      <x:c r="A265"/>
      <x:c r="B265" s="140" t="str">
        <x:v>Sill / Anchor Review Notes</x:v>
      </x:c>
      <x:c r="C265" s="508"/>
      <x:c r="D265" s="140"/>
      <x:c r="E265" s="140" t="str">
        <x:v>Washer, plate, embedment, grout, concrete strength, edge conditions, etc.</x:v>
      </x:c>
    </x:row>
    <x:row r="266">
      <x:c r="A266"/>
      <x:c r="B266" s="140"/>
      <x:c r="C266" s="508"/>
      <x:c r="D266" s="140"/>
      <x:c r="E266" s="140"/>
    </x:row>
    <x:row r="267">
      <x:c r="A267"/>
      <x:c r="B267" s="140" t="str">
        <x:v>R. COLLECTOR / CHORD / SPLICE INPUTS</x:v>
      </x:c>
      <x:c r="C267" s="506"/>
      <x:c r="D267" s="140"/>
      <x:c r="E267" s="140"/>
    </x:row>
    <x:row r="268">
      <x:c r="A268"/>
      <x:c r="B268" s="437" t="str">
        <x:v>Collector / Chord Mark</x:v>
      </x:c>
      <x:c r="C268" s="493"/>
      <x:c r="D268" s="437"/>
      <x:c r="E268" s="437" t="str">
        <x:v>Schedule identifier, e.g., C1 / CH1</x:v>
      </x:c>
    </x:row>
    <x:row r="269">
      <x:c r="A269"/>
      <x:c r="B269" s="140" t="str">
        <x:v>Use</x:v>
      </x:c>
      <x:c r="C269" s="508"/>
      <x:c r="D269" s="140"/>
      <x:c r="E269" s="140" t="str">
        <x:v>COLLECTOR / CHORD / SPLICE</x:v>
      </x:c>
    </x:row>
    <x:row r="270">
      <x:c r="A270"/>
      <x:c r="B270" s="140" t="str">
        <x:v>Axial Demand P</x:v>
      </x:c>
      <x:c r="C270" s="508"/>
      <x:c r="D270" s="140" t="str">
        <x:v>lb</x:v>
      </x:c>
      <x:c r="E270" s="140" t="str">
        <x:v>ASD axial force from diaphragm/wall load path</x:v>
      </x:c>
    </x:row>
    <x:row r="271">
      <x:c r="A271"/>
      <x:c r="B271" s="140" t="str">
        <x:v>Member Allowable Axial Capacity</x:v>
      </x:c>
      <x:c r="C271" s="508"/>
      <x:c r="D271" s="140" t="str">
        <x:v>lb</x:v>
      </x:c>
      <x:c r="E271" s="140" t="str">
        <x:v>NDS member calculation / approved engineered value</x:v>
      </x:c>
    </x:row>
    <x:row r="272">
      <x:c r="A272"/>
      <x:c r="B272" s="140" t="str">
        <x:v>Splice / Connection Demand</x:v>
      </x:c>
      <x:c r="C272" s="508"/>
      <x:c r="D272" s="140" t="str">
        <x:v>lb</x:v>
      </x:c>
      <x:c r="E272" s="140" t="str">
        <x:v>ASD force transferred through splice/connection</x:v>
      </x:c>
    </x:row>
    <x:row r="273">
      <x:c r="A273"/>
      <x:c r="B273" s="140" t="str">
        <x:v>Available Connection Capacity</x:v>
      </x:c>
      <x:c r="C273" s="508"/>
      <x:c r="D273" s="140" t="str">
        <x:v>lb</x:v>
      </x:c>
      <x:c r="E273" s="140" t="str">
        <x:v>Link/result from connection design or approved source</x:v>
      </x:c>
    </x:row>
    <x:row r="274">
      <x:c r="A274"/>
      <x:c r="B274" s="140" t="str">
        <x:v>Other Capacity Factor Cother</x:v>
      </x:c>
      <x:c r="C274" s="508"/>
      <x:c r="D274" s="140"/>
      <x:c r="E274" s="140" t="str">
        <x:v>Sourced reduction factor if applicable; otherwise 1.0</x:v>
      </x:c>
    </x:row>
    <x:row r="275">
      <x:c r="A275"/>
      <x:c r="B275" s="140" t="str">
        <x:v>Collector / Chord Source Record</x:v>
      </x:c>
      <x:c r="C275" s="508"/>
      <x:c r="D275" s="140"/>
      <x:c r="E275" s="140" t="str">
        <x:v>Member + connection source IDs</x:v>
      </x:c>
    </x:row>
    <x:row r="276">
      <x:c r="A276"/>
      <x:c r="B276" s="140" t="str">
        <x:v>Collector / Chord Review Notes</x:v>
      </x:c>
      <x:c r="C276" s="508"/>
      <x:c r="D276" s="140"/>
      <x:c r="E276" s="140" t="str">
        <x:v>Eccentricity, blocking, drag strut path, chord discontinuities, etc.</x:v>
      </x:c>
    </x:row>
    <x:row r="277">
      <x:c r="A277"/>
      <x:c r="B277"/>
      <x:c r="C277"/>
      <x:c r="D277"/>
      <x:c r="E277"/>
    </x:row>
    <x:row r="278">
      <x:c r="A278"/>
      <x:c r="B278" s="533" t="str">
        <x:v>S. FOUNDATION / SOIL / STABILITY ENGINE DATA</x:v>
      </x:c>
      <x:c r="C278" s="533"/>
      <x:c r="D278" s="533"/>
      <x:c r="E278" s="533"/>
    </x:row>
    <x:row r="279">
      <x:c r="A279"/>
      <x:c r="B279" t="str">
        <x:v>Foundation Mark</x:v>
      </x:c>
      <x:c r="C279" s="503"/>
      <x:c r="D279"/>
      <x:c r="E279" t="str">
        <x:v>Object/schedule ID; geometry normally from CAD object model</x:v>
      </x:c>
    </x:row>
    <x:row r="280">
      <x:c r="A280"/>
      <x:c r="B280" t="str">
        <x:v>Foundation Type</x:v>
      </x:c>
      <x:c r="C280" s="524" t="str">
        <x:f>IF('00_COVER'!F13="","",'00_COVER'!F13)</x:f>
      </x:c>
      <x:c r="D280"/>
      <x:c r="E280" t="str">
        <x:v>From project setup / object definition</x:v>
      </x:c>
    </x:row>
    <x:row r="281">
      <x:c r="A281"/>
      <x:c r="B281" t="str">
        <x:v>Service Vertical Demand P</x:v>
      </x:c>
      <x:c r="C281" s="503"/>
      <x:c r="D281" t="str">
        <x:v>kips</x:v>
      </x:c>
      <x:c r="E281" t="str">
        <x:v>Service/ASD vertical reaction at foundation</x:v>
      </x:c>
    </x:row>
    <x:row r="282">
      <x:c r="A282"/>
      <x:c r="B282" t="str">
        <x:v>Service Horizontal Demand H</x:v>
      </x:c>
      <x:c r="C282" s="503"/>
      <x:c r="D282" t="str">
        <x:v>kips</x:v>
      </x:c>
      <x:c r="E282" t="str">
        <x:v>Service/ASD lateral reaction at foundation</x:v>
      </x:c>
    </x:row>
    <x:row r="283">
      <x:c r="A283"/>
      <x:c r="B283" t="str">
        <x:v>Service Overturning Moment M</x:v>
      </x:c>
      <x:c r="C283" s="503"/>
      <x:c r="D283" t="str">
        <x:v>kip-ft</x:v>
      </x:c>
      <x:c r="E283" t="str">
        <x:v>Net destabilizing moment about footing centroid in B direction</x:v>
      </x:c>
    </x:row>
    <x:row r="284">
      <x:c r="A284"/>
      <x:c r="B284" t="str">
        <x:v>Footing Width B</x:v>
      </x:c>
      <x:c r="C284" s="503"/>
      <x:c r="D284" t="str">
        <x:v>ft</x:v>
      </x:c>
      <x:c r="E284" t="str">
        <x:v>CAD/object geometry</x:v>
      </x:c>
    </x:row>
    <x:row r="285">
      <x:c r="A285"/>
      <x:c r="B285" t="str">
        <x:v>Footing Length L</x:v>
      </x:c>
      <x:c r="C285" s="503"/>
      <x:c r="D285" t="str">
        <x:v>ft</x:v>
      </x:c>
      <x:c r="E285" t="str">
        <x:v>CAD/object geometry</x:v>
      </x:c>
    </x:row>
    <x:row r="286">
      <x:c r="A286"/>
      <x:c r="B286" t="str">
        <x:v>Footing Thickness t</x:v>
      </x:c>
      <x:c r="C286" s="503"/>
      <x:c r="D286" t="str">
        <x:v>in</x:v>
      </x:c>
      <x:c r="E286" t="str">
        <x:v>CAD/object geometry</x:v>
      </x:c>
    </x:row>
    <x:row r="287">
      <x:c r="A287"/>
      <x:c r="B287" t="str">
        <x:v>Supported Post/Column Width cB</x:v>
      </x:c>
      <x:c r="C287" s="503"/>
      <x:c r="D287" t="str">
        <x:v>in</x:v>
      </x:c>
      <x:c r="E287" t="str">
        <x:v>Dimension parallel to B direction</x:v>
      </x:c>
    </x:row>
    <x:row r="288">
      <x:c r="A288"/>
      <x:c r="B288" t="str">
        <x:v>Supported Post/Column Length cL</x:v>
      </x:c>
      <x:c r="C288" s="503"/>
      <x:c r="D288" t="str">
        <x:v>in</x:v>
      </x:c>
      <x:c r="E288" t="str">
        <x:v>Dimension parallel to L direction</x:v>
      </x:c>
    </x:row>
    <x:row r="289">
      <x:c r="A289"/>
      <x:c r="B289" t="str">
        <x:v>Concrete Unit Weight</x:v>
      </x:c>
      <x:c r="C289" s="503"/>
      <x:c r="D289" t="str">
        <x:v>pcf</x:v>
      </x:c>
      <x:c r="E289" t="str">
        <x:v>Source-controlled; normal-weight commonly project/material basis</x:v>
      </x:c>
    </x:row>
    <x:row r="290">
      <x:c r="A290"/>
      <x:c r="B290" t="str">
        <x:v>Allowable Soil Bearing qallow</x:v>
      </x:c>
      <x:c r="C290" s="503"/>
      <x:c r="D290" t="str">
        <x:v>ksf</x:v>
      </x:c>
      <x:c r="E290" t="str">
        <x:v>Geotechnical report or applicable CBC basis — do not infer from Site Class</x:v>
      </x:c>
    </x:row>
    <x:row r="291">
      <x:c r="A291"/>
      <x:c r="B291" t="str">
        <x:v>Soil / Base Friction Coefficient μ</x:v>
      </x:c>
      <x:c r="C291" s="503"/>
      <x:c r="D291"/>
      <x:c r="E291" t="str">
        <x:v>Geotechnical/project basis</x:v>
      </x:c>
    </x:row>
    <x:row r="292">
      <x:c r="A292"/>
      <x:c r="B292" t="str">
        <x:v>Passive / Other Sliding Resistance</x:v>
      </x:c>
      <x:c r="C292" s="503"/>
      <x:c r="D292" t="str">
        <x:v>kips</x:v>
      </x:c>
      <x:c r="E292" t="str">
        <x:v>Use only when permitted and source-controlled</x:v>
      </x:c>
    </x:row>
    <x:row r="293">
      <x:c r="A293"/>
      <x:c r="B293" t="str">
        <x:v>Minimum Sliding FS</x:v>
      </x:c>
      <x:c r="C293" s="503"/>
      <x:c r="D293"/>
      <x:c r="E293" t="str">
        <x:v>Project/code/geotechnical criterion</x:v>
      </x:c>
    </x:row>
    <x:row r="294">
      <x:c r="A294"/>
      <x:c r="B294" t="str">
        <x:v>Minimum Overturning FS</x:v>
      </x:c>
      <x:c r="C294" s="503"/>
      <x:c r="D294"/>
      <x:c r="E294" t="str">
        <x:v>Project/code/geotechnical criterion</x:v>
      </x:c>
    </x:row>
    <x:row r="295">
      <x:c r="A295"/>
      <x:c r="B295" t="str">
        <x:v>Concrete f'c</x:v>
      </x:c>
      <x:c r="C295" s="503"/>
      <x:c r="D295" t="str">
        <x:v>psi</x:v>
      </x:c>
      <x:c r="E295" t="str">
        <x:v>Concrete design source</x:v>
      </x:c>
    </x:row>
    <x:row r="296">
      <x:c r="A296"/>
      <x:c r="B296" t="str">
        <x:v>Reinforcing Steel fy</x:v>
      </x:c>
      <x:c r="C296" s="503"/>
      <x:c r="D296" t="str">
        <x:v>psi</x:v>
      </x:c>
      <x:c r="E296" t="str">
        <x:v>Concrete design source</x:v>
      </x:c>
    </x:row>
    <x:row r="297">
      <x:c r="A297"/>
      <x:c r="B297" t="str">
        <x:v>Concrete / Reinforcement Design Status</x:v>
      </x:c>
      <x:c r="C297" s="503"/>
      <x:c r="D297"/>
      <x:c r="E297" t="str">
        <x:v>PENDING / REVIEWED</x:v>
      </x:c>
    </x:row>
    <x:row r="298">
      <x:c r="A298"/>
      <x:c r="B298" t="str">
        <x:v>Geotechnical Source Record</x:v>
      </x:c>
      <x:c r="C298" s="503"/>
      <x:c r="D298"/>
      <x:c r="E298" t="str">
        <x:v>Report / CBC basis / source ID</x:v>
      </x:c>
    </x:row>
    <x:row r="299">
      <x:c r="A299"/>
      <x:c r="B299" t="str">
        <x:v>Concrete Design Source Record</x:v>
      </x:c>
      <x:c r="C299" s="503"/>
      <x:c r="D299"/>
      <x:c r="E299" t="str">
        <x:v>ACI/code calculation source ID</x:v>
      </x:c>
    </x:row>
    <x:row r="300">
      <x:c r="A300"/>
      <x:c r="B300" t="str">
        <x:v>Foundation Review Notes</x:v>
      </x:c>
      <x:c r="C300" s="503"/>
      <x:c r="D300"/>
      <x:c r="E300" t="str">
        <x:v>Settlement, frost, expansive soil, groundwater, seismic, anchor, etc.</x:v>
      </x:c>
    </x:row>
  </x:sheetData>
  <x:mergeCells>
    <x:mergeCell ref="B2:F3"/>
    <x:mergeCell ref="B4:F4"/>
    <x:mergeCell ref="B5:F5"/>
    <x:mergeCell ref="B17:F17"/>
    <x:mergeCell ref="B25:F25"/>
    <x:mergeCell ref="B36:F36"/>
    <x:mergeCell ref="B43:F43"/>
    <x:mergeCell ref="B49:F49"/>
    <x:mergeCell ref="B57:F57"/>
    <x:mergeCell ref="B65:E65"/>
    <x:mergeCell ref="B4:E4"/>
  </x:mergeCells>
  <x:dataValidations count="32">
    <x:dataValidation type="list" sqref="C18">
      <x:formula1>"CBC,CRC"</x:formula1>
    </x:dataValidation>
    <x:dataValidation type="list" sqref="C19">
      <x:formula1>"I,II,III,IV"</x:formula1>
    </x:dataValidation>
    <x:dataValidation type="list" sqref="C20">
      <x:formula1>"ASD,LRFD"</x:formula1>
    </x:dataValidation>
    <x:dataValidation type="list" sqref="C22">
      <x:formula1>"A,B,C,D,E,F"</x:formula1>
    </x:dataValidation>
    <x:dataValidation type="list" sqref="C45">
      <x:formula1>"B,C,D"</x:formula1>
    </x:dataValidation>
    <x:dataValidation type="list" sqref="C54">
      <x:formula1>"A,B,C,D,E,F"</x:formula1>
    </x:dataValidation>
    <x:dataValidation type="list" sqref="C66">
      <x:formula1>"Chapter 28 — Envelope (Low-Rise),Chapter 27 — Directional (Future)"</x:formula1>
    </x:dataValidation>
    <x:dataValidation type="list" sqref="C67">
      <x:formula1>"Enclosed,Partially Enclosed,Partially Open,Open"</x:formula1>
    </x:dataValidation>
    <x:dataValidation type="list" sqref="C68">
      <x:formula1>"Flat,Gable,Hip,Other"</x:formula1>
    </x:dataValidation>
    <x:dataValidation type="list" sqref="C98">
      <x:formula1>"ELF Method 2"</x:formula1>
    </x:dataValidation>
    <x:dataValidation type="list" sqref="C96:C97">
      <x:formula1>"1,1.3"</x:formula1>
    </x:dataValidation>
    <x:dataValidation type="list" sqref="C120">
      <x:formula1>"Beam,Header,Rafter,Joist,Other"</x:formula1>
    </x:dataValidation>
    <x:dataValidation type="list" sqref="C121">
      <x:formula1>"Roof,Floor"</x:formula1>
    </x:dataValidation>
    <x:dataValidation type="list" sqref="C147">
      <x:formula1>"Sawn Lumber,Glulam,SCL,CLT"</x:formula1>
    </x:dataValidation>
    <x:dataValidation type="list" sqref="C168">
      <x:formula1>"PENDING,REVIEWED"</x:formula1>
    </x:dataValidation>
    <x:dataValidation type="list" sqref="C170">
      <x:formula1>"NO,YES"</x:formula1>
    </x:dataValidation>
    <x:dataValidation type="list" sqref="C174">
      <x:formula1>"WIND,SEISMIC"</x:formula1>
    </x:dataValidation>
    <x:dataValidation type="list" sqref="C175">
      <x:formula1>"SEGMENTED,FTAO,PERFORATED"</x:formula1>
    </x:dataValidation>
    <x:dataValidation type="list" sqref="C176">
      <x:formula1>"WSP,STRUCTURAL FIBERBOARD,OTHER"</x:formula1>
    </x:dataValidation>
    <x:dataValidation type="list" sqref="C195">
      <x:formula1>"SIMPLY SUPPORTED UDL,CANTILEVER UDL,CANTILEVER TIP LOAD"</x:formula1>
    </x:dataValidation>
    <x:dataValidation type="list" sqref="C196">
      <x:formula1>"SIMPLY SUPPORTED UDL,CANTILEVER UDL,CANTILEVER TIP LOAD"</x:formula1>
    </x:dataValidation>
    <x:dataValidation type="list" sqref="C194">
      <x:formula1>"WIND,SEISMIC"</x:formula1>
    </x:dataValidation>
    <x:dataValidation type="list" sqref="C214">
      <x:formula1>"WOOD-WOOD,WOOD-METAL,OTHER"</x:formula1>
    </x:dataValidation>
    <x:dataValidation type="list" sqref="C215">
      <x:formula1>"BOLT,LAG SCREW,WOOD SCREW,NAIL,OTHER"</x:formula1>
    </x:dataValidation>
    <x:dataValidation type="list" sqref="C216">
      <x:formula1>"LATERAL,WITHDRAWAL,COMBINED"</x:formula1>
    </x:dataValidation>
    <x:dataValidation type="list" sqref="C254">
      <x:formula1>"CAST-IN,MECHANICAL,ADHESIVE,OTHER"</x:formula1>
    </x:dataValidation>
    <x:dataValidation type="list" sqref="C263">
      <x:formula1>"REVIEWED,PENDING"</x:formula1>
    </x:dataValidation>
    <x:dataValidation type="list" sqref="C264">
      <x:formula1>"REVIEWED,PENDING"</x:formula1>
    </x:dataValidation>
    <x:dataValidation type="list" sqref="C270">
      <x:formula1>"COLLECTOR,CHORD,SPLICE"</x:formula1>
    </x:dataValidation>
    <x:dataValidation type="list" sqref="C269">
      <x:formula1>"COLLECTOR,CHORD,SPLICE"</x:formula1>
    </x:dataValidation>
    <x:dataValidation type="list" sqref="C265">
      <x:formula1>"REVIEWED,PENDING"</x:formula1>
    </x:dataValidation>
    <x:dataValidation type="list" sqref="C297">
      <x:formula1>"PENDING,REVIEWED"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28" hidden="0" customWidth="1"/>
    <x:col min="7" max="7" width="18" hidden="0" customWidth="1"/>
    <x:col min="8" max="8" width="26"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DESIGN CRITERIA &amp; HAZARD DATA</x:v>
      </x:c>
      <x:c r="C2" s="79"/>
      <x:c r="D2" s="79"/>
      <x:c r="E2" s="79"/>
      <x:c r="F2" s="79"/>
      <x:c r="G2" s="79"/>
      <x:c r="H2" s="79"/>
      <x:c r="I2" s="78"/>
      <x:c r="J2" s="78"/>
      <x:c r="K2" s="78"/>
    </x:row>
    <x:row r="3">
      <x:c r="B3" s="79"/>
      <x:c r="C3" s="79"/>
      <x:c r="D3" s="79"/>
      <x:c r="E3" s="79"/>
      <x:c r="F3" s="79"/>
      <x:c r="G3" s="79"/>
      <x:c r="H3" s="79"/>
      <x:c r="I3" s="78"/>
      <x:c r="J3" s="78"/>
      <x:c r="K3" s="78"/>
    </x:row>
    <x:row r="4">
      <x:c r="B4" s="78"/>
      <x:c r="C4" s="78"/>
      <x:c r="D4" s="78"/>
      <x:c r="E4" s="78"/>
      <x:c r="F4" s="78"/>
      <x:c r="G4" s="78"/>
      <x:c r="H4" s="78"/>
      <x:c r="I4" s="78"/>
      <x:c r="J4" s="78"/>
      <x:c r="K4" s="78"/>
    </x:row>
    <x:row r="5">
      <x:c r="B5" s="81" t="str">
        <x:v>GOVERNING BASIS</x:v>
      </x:c>
      <x:c r="C5" s="81"/>
      <x:c r="D5" s="81"/>
      <x:c r="E5" s="81"/>
      <x:c r="F5" s="81"/>
      <x:c r="G5" s="78"/>
      <x:c r="H5" s="78"/>
      <x:c r="I5" s="78"/>
      <x:c r="J5" s="78"/>
      <x:c r="K5" s="78"/>
    </x:row>
    <x:row r="6">
      <x:c r="B6" s="28" t="str">
        <x:v>Item</x:v>
      </x:c>
      <x:c r="C6" s="28" t="str">
        <x:v>Project Selection / Value</x:v>
      </x:c>
      <x:c r="D6" s="28" t="str">
        <x:v>Edition / Basis</x:v>
      </x:c>
      <x:c r="E6" s="28" t="str">
        <x:v>Source ID</x:v>
      </x:c>
      <x:c r="F6" s="28" t="str">
        <x:v>Review</x:v>
      </x:c>
      <x:c r="G6" s="78"/>
      <x:c r="H6" s="78"/>
      <x:c r="I6" s="78"/>
      <x:c r="J6" s="78"/>
      <x:c r="K6" s="78"/>
    </x:row>
    <x:row r="7">
      <x:c r="B7" s="78" t="str">
        <x:v>California Building Code</x:v>
      </x:c>
      <x:c r="C7" s="78" t="str">
        <x:v>2025 CBC</x:v>
      </x:c>
      <x:c r="D7" s="78" t="str">
        <x:v>Effective 01/01/2026</x:v>
      </x:c>
      <x:c r="E7" s="78" t="str">
        <x:v>SRC-01</x:v>
      </x:c>
      <x:c r="F7" s="108" t="str">
        <x:v>VERIFY</x:v>
      </x:c>
      <x:c r="G7" s="78"/>
      <x:c r="H7" s="78"/>
      <x:c r="I7" s="78"/>
      <x:c r="J7" s="78"/>
      <x:c r="K7" s="78"/>
    </x:row>
    <x:row r="8">
      <x:c r="B8" s="78" t="str">
        <x:v>Loading / Hazards</x:v>
      </x:c>
      <x:c r="C8" s="78" t="str">
        <x:v>ASCE/SEI 7-22</x:v>
      </x:c>
      <x:c r="D8" s="78" t="str">
        <x:v>As adopted/amended by 2025 CBC</x:v>
      </x:c>
      <x:c r="E8" s="78" t="str">
        <x:v>SRC-09</x:v>
      </x:c>
      <x:c r="F8" s="108" t="str">
        <x:v>VERIFY</x:v>
      </x:c>
      <x:c r="G8" s="78"/>
      <x:c r="H8" s="78"/>
      <x:c r="I8" s="78"/>
      <x:c r="J8" s="78"/>
      <x:c r="K8" s="78"/>
    </x:row>
    <x:row r="9">
      <x:c r="B9" s="78" t="str">
        <x:v>Wood Member Design</x:v>
      </x:c>
      <x:c r="C9" s="78" t="str">
        <x:v>ANSI/AWC NDS-2024</x:v>
      </x:c>
      <x:c r="D9" s="78" t="str">
        <x:v>Use matching 2024 Supplement values</x:v>
      </x:c>
      <x:c r="E9" s="78" t="str">
        <x:v>SRC-04</x:v>
      </x:c>
      <x:c r="F9" s="108" t="str">
        <x:v>VERIFY</x:v>
      </x:c>
      <x:c r="G9" s="78"/>
      <x:c r="H9" s="78"/>
      <x:c r="I9" s="78"/>
      <x:c r="J9" s="78"/>
      <x:c r="K9" s="78"/>
    </x:row>
    <x:row r="10">
      <x:c r="B10" s="78" t="str">
        <x:v>Wood Lateral Systems</x:v>
      </x:c>
      <x:c r="C10" s="78" t="str">
        <x:v>ANSI/AWC SDPWS-2021</x:v>
      </x:c>
      <x:c r="D10" s="78" t="str">
        <x:v>Shear walls / diaphragms / connections</x:v>
      </x:c>
      <x:c r="E10" s="78" t="str">
        <x:v>SRC-06</x:v>
      </x:c>
      <x:c r="F10" s="108" t="str">
        <x:v>VERIFY</x:v>
      </x:c>
      <x:c r="G10" s="78"/>
      <x:c r="H10" s="78"/>
      <x:c r="I10" s="78"/>
      <x:c r="J10" s="78"/>
      <x:c r="K10" s="78"/>
    </x:row>
    <x:row r="11">
      <x:c r="B11" s="78" t="str">
        <x:v>Residential Wood Reference</x:v>
      </x:c>
      <x:c r="C11" s="78" t="str">
        <x:v>ANSI/AWC WFCM-2024</x:v>
      </x:c>
      <x:c r="D11" s="78" t="str">
        <x:v>Where applicable</x:v>
      </x:c>
      <x:c r="E11" s="78" t="str">
        <x:v>SRC-07</x:v>
      </x:c>
      <x:c r="F11" s="108" t="str">
        <x:v>VERIFY</x:v>
      </x:c>
      <x:c r="G11" s="78"/>
      <x:c r="H11" s="78"/>
      <x:c r="I11" s="78"/>
      <x:c r="J11" s="78"/>
      <x:c r="K11" s="78"/>
    </x:row>
    <x:row r="12">
      <x:c r="B12" s="78" t="str">
        <x:v>Local Amendments</x:v>
      </x:c>
      <x:c r="C12" s="78" t="str"/>
      <x:c r="D12" s="78" t="str">
        <x:v>Jurisdiction-specific</x:v>
      </x:c>
      <x:c r="E12" s="78" t="str">
        <x:v>SRC-08</x:v>
      </x:c>
      <x:c r="F12" s="108" t="str">
        <x:v>VERIFY</x:v>
      </x:c>
      <x:c r="G12" s="78"/>
      <x:c r="H12" s="78"/>
      <x:c r="I12" s="78"/>
      <x:c r="J12" s="78"/>
      <x:c r="K12" s="78"/>
    </x:row>
    <x:row r="13">
      <x:c r="B13" s="78" t="str">
        <x:v>Load Combinations</x:v>
      </x:c>
      <x:c r="C13" s="78" t="str">
        <x:v>ASCE/SEI 7-22 Ch. 2</x:v>
      </x:c>
      <x:c r="D13" s="78" t="str">
        <x:v>Strength + ASD</x:v>
      </x:c>
      <x:c r="E13" s="78" t="str">
        <x:v>SRC-09</x:v>
      </x:c>
      <x:c r="F13" s="78" t="str">
        <x:v>VERIFIED BASIS</x:v>
      </x:c>
      <x:c r="G13" s="78"/>
      <x:c r="H13" s="78"/>
      <x:c r="I13" s="78"/>
      <x:c r="J13" s="78"/>
      <x:c r="K13" s="78"/>
    </x:row>
    <x:row r="14">
      <x:c r="B14" s="78"/>
      <x:c r="C14" s="78"/>
      <x:c r="D14" s="78"/>
      <x:c r="E14" s="78"/>
      <x:c r="F14" s="78"/>
      <x:c r="G14" s="78"/>
      <x:c r="H14" s="78"/>
      <x:c r="I14" s="78"/>
      <x:c r="J14" s="78"/>
      <x:c r="K14" s="78"/>
    </x:row>
    <x:row r="15">
      <x:c r="B15" s="81" t="str">
        <x:v>PROJECT DESIGN PARAMETERS</x:v>
      </x:c>
      <x:c r="C15" s="81"/>
      <x:c r="D15" s="81"/>
      <x:c r="E15" s="81"/>
      <x:c r="F15" s="81"/>
      <x:c r="G15" s="81"/>
      <x:c r="H15" s="81"/>
      <x:c r="I15" s="78"/>
      <x:c r="J15" s="78"/>
      <x:c r="K15" s="78"/>
    </x:row>
    <x:row r="16">
      <x:c r="B16" s="28" t="str">
        <x:v>Parameter</x:v>
      </x:c>
      <x:c r="C16" s="28" t="str">
        <x:v>Value</x:v>
      </x:c>
      <x:c r="D16" s="28" t="str">
        <x:v>Unit</x:v>
      </x:c>
      <x:c r="E16" s="28" t="str">
        <x:v>Input Source</x:v>
      </x:c>
      <x:c r="F16" s="28" t="str">
        <x:v>Status</x:v>
      </x:c>
      <x:c r="G16" s="28" t="str">
        <x:v>Reference</x:v>
      </x:c>
      <x:c r="H16" s="28" t="str">
        <x:v>Notes</x:v>
      </x:c>
      <x:c r="I16" s="78"/>
      <x:c r="J16" s="78"/>
      <x:c r="K16" s="78"/>
    </x:row>
    <x:row r="17">
      <x:c r="B17" s="78" t="str">
        <x:v>Risk Category</x:v>
      </x:c>
      <x:c r="C17" s="83" t="str">
        <x:f>IF('01_INPUTS'!C19="","",'01_INPUTS'!C19)</x:f>
      </x:c>
      <x:c r="D17" s="78" t="str"/>
      <x:c r="E17" s="83" t="str">
        <x:v>01_INPUTS</x:v>
      </x:c>
      <x:c r="F17" s="83" t="str">
        <x:f>IF(C17="","MISSING","ENTERED")</x:f>
        <x:v>MISSING</x:v>
      </x:c>
      <x:c r="G17" s="78" t="str">
        <x:v>ASCE 7-22 / CBC</x:v>
      </x:c>
      <x:c r="H17" s="78" t="str"/>
      <x:c r="I17" s="78"/>
      <x:c r="J17" s="78"/>
      <x:c r="K17" s="78"/>
    </x:row>
    <x:row r="18">
      <x:c r="B18" s="78" t="str">
        <x:v>Design Method</x:v>
      </x:c>
      <x:c r="C18" s="83" t="str">
        <x:f>IF('01_INPUTS'!C20="","",'01_INPUTS'!C20)</x:f>
      </x:c>
      <x:c r="D18" s="78" t="str"/>
      <x:c r="E18" s="83" t="str">
        <x:v>01_INPUTS</x:v>
      </x:c>
      <x:c r="F18" s="83" t="str">
        <x:f>IF(C18="","MISSING","ENTERED")</x:f>
        <x:v>MISSING</x:v>
      </x:c>
      <x:c r="G18" s="78" t="str">
        <x:v>NDS / SDPWS</x:v>
      </x:c>
      <x:c r="H18" s="78" t="str"/>
      <x:c r="I18" s="78"/>
      <x:c r="J18" s="78"/>
      <x:c r="K18" s="78"/>
    </x:row>
    <x:row r="19">
      <x:c r="B19" s="78" t="str">
        <x:v>Site Class</x:v>
      </x:c>
      <x:c r="C19" s="83" t="str">
        <x:f>IF('01_INPUTS'!C22="","",'01_INPUTS'!C22)</x:f>
      </x:c>
      <x:c r="D19" s="78" t="str"/>
      <x:c r="E19" s="83" t="str">
        <x:v>01_INPUTS</x:v>
      </x:c>
      <x:c r="F19" s="83" t="str">
        <x:f>IF(C19="","MISSING","ENTERED")</x:f>
        <x:v>MISSING</x:v>
      </x:c>
      <x:c r="G19" s="78" t="str">
        <x:v>ASCE 7-22 Ch. 20</x:v>
      </x:c>
      <x:c r="H19" s="78" t="str"/>
      <x:c r="I19" s="78"/>
      <x:c r="J19" s="78"/>
      <x:c r="K19" s="78"/>
    </x:row>
    <x:row r="20">
      <x:c r="B20" s="78" t="str">
        <x:v>Basic Wind Speed Vult</x:v>
      </x:c>
      <x:c r="C20" s="83" t="str">
        <x:f>IF('01_INPUTS'!C44="","",'01_INPUTS'!C44)</x:f>
      </x:c>
      <x:c r="D20" s="78" t="str">
        <x:v>mph</x:v>
      </x:c>
      <x:c r="E20" s="83" t="str">
        <x:v>01_INPUTS</x:v>
      </x:c>
      <x:c r="F20" s="83" t="str">
        <x:f>IF(C20="","MISSING","ENTERED")</x:f>
        <x:v>MISSING</x:v>
      </x:c>
      <x:c r="G20" s="78" t="str">
        <x:v>ASCE 7-22</x:v>
      </x:c>
      <x:c r="H20" s="78" t="str"/>
      <x:c r="I20" s="78"/>
      <x:c r="J20" s="78"/>
      <x:c r="K20" s="78"/>
    </x:row>
    <x:row r="21">
      <x:c r="B21" s="78" t="str">
        <x:v>Exposure Category</x:v>
      </x:c>
      <x:c r="C21" s="83" t="str">
        <x:f>IF('01_INPUTS'!C45="","",'01_INPUTS'!C45)</x:f>
      </x:c>
      <x:c r="D21" s="78" t="str"/>
      <x:c r="E21" s="83" t="str">
        <x:v>01_INPUTS</x:v>
      </x:c>
      <x:c r="F21" s="83" t="str">
        <x:f>IF(C21="","MISSING","ENTERED")</x:f>
        <x:v>MISSING</x:v>
      </x:c>
      <x:c r="G21" s="78" t="str">
        <x:v>ASCE 7-22</x:v>
      </x:c>
      <x:c r="H21" s="78" t="str"/>
      <x:c r="I21" s="78"/>
      <x:c r="J21" s="78"/>
      <x:c r="K21" s="78"/>
    </x:row>
    <x:row r="22">
      <x:c r="B22" s="78" t="str">
        <x:v>SDS</x:v>
      </x:c>
      <x:c r="C22" s="83" t="str">
        <x:f>IF('01_INPUTS'!C52="","",'01_INPUTS'!C52)</x:f>
      </x:c>
      <x:c r="D22" s="78" t="str">
        <x:v>g</x:v>
      </x:c>
      <x:c r="E22" s="83" t="str">
        <x:v>01_INPUTS / USGS</x:v>
      </x:c>
      <x:c r="F22" s="83" t="str">
        <x:f>IF(C22="","MISSING","ENTERED")</x:f>
        <x:v>MISSING</x:v>
      </x:c>
      <x:c r="G22" s="78" t="str">
        <x:v>ASCE 7-22</x:v>
      </x:c>
      <x:c r="H22" s="78" t="str"/>
      <x:c r="I22" s="78"/>
      <x:c r="J22" s="78"/>
      <x:c r="K22" s="78"/>
    </x:row>
    <x:row r="23">
      <x:c r="B23" s="78" t="str">
        <x:v>SD1</x:v>
      </x:c>
      <x:c r="C23" s="83" t="str">
        <x:f>IF('01_INPUTS'!C53="","",'01_INPUTS'!C53)</x:f>
      </x:c>
      <x:c r="D23" s="78" t="str">
        <x:v>g</x:v>
      </x:c>
      <x:c r="E23" s="83" t="str">
        <x:v>01_INPUTS / USGS</x:v>
      </x:c>
      <x:c r="F23" s="83" t="str">
        <x:f>IF(C23="","MISSING","ENTERED")</x:f>
        <x:v>MISSING</x:v>
      </x:c>
      <x:c r="G23" s="78" t="str">
        <x:v>ASCE 7-22</x:v>
      </x:c>
      <x:c r="H23" s="78" t="str"/>
      <x:c r="I23" s="78"/>
      <x:c r="J23" s="78"/>
      <x:c r="K23" s="78"/>
    </x:row>
    <x:row r="24">
      <x:c r="B24" s="78" t="str">
        <x:v>Seismic Design Category</x:v>
      </x:c>
      <x:c r="C24" s="83" t="str">
        <x:f>IF('01_INPUTS'!C54="","",'01_INPUTS'!C54)</x:f>
      </x:c>
      <x:c r="D24" s="78" t="str"/>
      <x:c r="E24" s="83" t="str">
        <x:v>01_INPUTS / USGS</x:v>
      </x:c>
      <x:c r="F24" s="83" t="str">
        <x:f>IF(C24="","MISSING","ENTERED")</x:f>
        <x:v>MISSING</x:v>
      </x:c>
      <x:c r="G24" s="78" t="str">
        <x:v>ASCE 7-22 / CBC</x:v>
      </x:c>
      <x:c r="H24" s="78" t="str"/>
      <x:c r="I24" s="78"/>
      <x:c r="J24" s="78"/>
      <x:c r="K24" s="78"/>
    </x:row>
    <x:row r="25">
      <x:c r="B25" s="78" t="str">
        <x:v>Ground Snow Load pg</x:v>
      </x:c>
      <x:c r="C25" s="83" t="str">
        <x:f>IF('01_INPUTS'!C41="","",'01_INPUTS'!C41)</x:f>
      </x:c>
      <x:c r="D25" s="78" t="str">
        <x:v>psf</x:v>
      </x:c>
      <x:c r="E25" s="83" t="str">
        <x:v>01_INPUTS / AHJ</x:v>
      </x:c>
      <x:c r="F25" s="83" t="str">
        <x:f>IF(C25="","MISSING","ENTERED")</x:f>
        <x:v>MISSING</x:v>
      </x:c>
      <x:c r="G25" s="78" t="str">
        <x:v>ASCE 7-22 / local criteria</x:v>
      </x:c>
      <x:c r="H25" s="78" t="str"/>
      <x:c r="I25" s="78"/>
      <x:c r="J25" s="78"/>
      <x:c r="K25" s="78"/>
    </x:row>
    <x:row r="26">
      <x:c r="B26" s="152" t="str">
        <x:v>Foundation / Soils</x:v>
      </x:c>
      <x:c r="C26" s="152" t="str">
        <x:v>2025 CBC Chapter 18 / project geotechnical basis</x:v>
      </x:c>
      <x:c r="D26" s="152"/>
      <x:c r="E26" s="152" t="str">
        <x:v>36_FOUNDATION</x:v>
      </x:c>
      <x:c r="F26" s="152" t="str">
        <x:v>SOURCE CONTROLLED</x:v>
      </x:c>
      <x:c r="G26" s="152" t="str">
        <x:v>CBC Ch. 18</x:v>
      </x:c>
      <x:c r="H26" s="152" t="str">
        <x:v>Site Class does not establish allowable bearing/friction.</x:v>
      </x:c>
      <x:c r="I26" s="78"/>
      <x:c r="J26" s="78"/>
      <x:c r="K26" s="78"/>
    </x:row>
    <x:row r="27">
      <x:c r="B27" s="152" t="str">
        <x:v>Structural Concrete</x:v>
      </x:c>
      <x:c r="C27" s="152" t="str">
        <x:v>ACI 318-19(22) as adopted/referenced by governing code</x:v>
      </x:c>
      <x:c r="D27" s="152"/>
      <x:c r="E27" s="152" t="str">
        <x:v>Project concrete design record</x:v>
      </x:c>
      <x:c r="F27" s="152" t="str">
        <x:v>REVIEW</x:v>
      </x:c>
      <x:c r="G27" s="152" t="str">
        <x:v>CBC Ch. 19 / ACI 318</x:v>
      </x:c>
      <x:c r="H27" s="152" t="str">
        <x:v>Footing flexure/shear/detailing remains project concrete calculation.</x:v>
      </x:c>
      <x:c r="I27" s="78"/>
      <x:c r="J27" s="78"/>
      <x:c r="K27" s="78"/>
    </x:row>
    <x:row r="28">
      <x:c r="B28" s="81" t="str">
        <x:v>USGS ASCE 7-22 API REQUEST</x:v>
      </x:c>
      <x:c r="C28" s="81"/>
      <x:c r="D28" s="81"/>
      <x:c r="E28" s="81"/>
      <x:c r="F28" s="81"/>
      <x:c r="G28" s="81"/>
      <x:c r="H28" s="81"/>
      <x:c r="I28" s="78"/>
      <x:c r="J28" s="78"/>
      <x:c r="K28" s="78"/>
    </x:row>
    <x:row r="29">
      <x:c r="B29" s="78" t="str">
        <x:v>Latitude</x:v>
      </x:c>
      <x:c r="C29" s="83" t="str">
        <x:f>IF('01_INPUTS'!C50="","",'01_INPUTS'!C50)</x:f>
      </x:c>
      <x:c r="D29" s="78"/>
      <x:c r="E29" s="78"/>
      <x:c r="F29" s="78"/>
      <x:c r="G29" s="78"/>
      <x:c r="H29" s="78"/>
      <x:c r="I29" s="78"/>
      <x:c r="J29" s="78"/>
      <x:c r="K29" s="78"/>
    </x:row>
    <x:row r="30">
      <x:c r="B30" s="78" t="str">
        <x:v>Longitude</x:v>
      </x:c>
      <x:c r="C30" s="83" t="str">
        <x:f>IF('01_INPUTS'!C51="","",'01_INPUTS'!C51)</x:f>
      </x:c>
      <x:c r="D30" s="78"/>
      <x:c r="E30" s="78"/>
      <x:c r="F30" s="78"/>
      <x:c r="G30" s="78"/>
      <x:c r="H30" s="78"/>
      <x:c r="I30" s="78"/>
      <x:c r="J30" s="78"/>
      <x:c r="K30" s="78"/>
    </x:row>
    <x:row r="31">
      <x:c r="B31" s="78" t="str">
        <x:v>Site Class</x:v>
      </x:c>
      <x:c r="C31" s="83" t="str">
        <x:f>IF('01_INPUTS'!C22="","",'01_INPUTS'!C22)</x:f>
      </x:c>
      <x:c r="D31" s="78"/>
      <x:c r="E31" s="78"/>
      <x:c r="F31" s="78"/>
      <x:c r="G31" s="78"/>
      <x:c r="H31" s="78"/>
      <x:c r="I31" s="78"/>
      <x:c r="J31" s="78"/>
      <x:c r="K31" s="78"/>
    </x:row>
    <x:row r="32">
      <x:c r="B32" s="78" t="str">
        <x:v>Risk Category</x:v>
      </x:c>
      <x:c r="C32" s="83" t="str">
        <x:f>IF('01_INPUTS'!C19="","",'01_INPUTS'!C19)</x:f>
      </x:c>
      <x:c r="D32" s="78"/>
      <x:c r="E32" s="78"/>
      <x:c r="F32" s="78"/>
      <x:c r="G32" s="78"/>
      <x:c r="H32" s="78"/>
      <x:c r="I32" s="78"/>
      <x:c r="J32" s="78"/>
      <x:c r="K32" s="78"/>
    </x:row>
    <x:row r="33">
      <x:c r="B33" s="78" t="str">
        <x:v>API URL</x:v>
      </x:c>
      <x:c r="C33" s="83" t="str">
        <x:f>IF(OR(C29="",C30="",C31="",C32=""),"","https://earthquake.usgs.gov/ws/building-codes/asce7-22/calculate?latitude="&amp;TEXT(C29,"0.000000")&amp;"&amp;longitude="&amp;TEXT(C30,"0.000000")&amp;"&amp;siteClass="&amp;C31&amp;"&amp;riskCategory="&amp;C32&amp;"&amp;title=Project")</x:f>
      </x:c>
      <x:c r="D33" s="78"/>
      <x:c r="E33" s="78"/>
      <x:c r="F33" s="78"/>
      <x:c r="G33" s="78"/>
      <x:c r="H33" s="78"/>
      <x:c r="I33" s="78"/>
      <x:c r="J33" s="78"/>
      <x:c r="K33" s="78"/>
    </x:row>
    <x:row r="34">
      <x:c r="B34" s="78" t="str">
        <x:v>API Status</x:v>
      </x:c>
      <x:c r="C34" s="83" t="str">
        <x:f>IF(C33="","NEEDS COORDINATES / CLASS","API REQUEST READY")</x:f>
        <x:v>NEEDS COORDINATES / CLASS</x:v>
      </x:c>
      <x:c r="D34" s="78"/>
      <x:c r="E34" s="78"/>
      <x:c r="F34" s="78"/>
      <x:c r="G34" s="78"/>
      <x:c r="H34" s="78"/>
      <x:c r="I34" s="78"/>
      <x:c r="J34" s="78"/>
      <x:c r="K34" s="78"/>
    </x:row>
    <x:row r="35">
      <x:c r="B35" s="78"/>
      <x:c r="C35" s="78"/>
      <x:c r="D35" s="78"/>
      <x:c r="E35" s="78"/>
      <x:c r="F35" s="78"/>
      <x:c r="G35" s="78"/>
      <x:c r="H35" s="78"/>
      <x:c r="I35" s="78"/>
      <x:c r="J35" s="78"/>
      <x:c r="K35" s="78"/>
    </x:row>
    <x:row r="36">
      <x:c r="B36" s="64" t="str">
        <x:v>USGS warning: the ASCE 7-22 web service is preliminary/provisional software. Record returned values, retrieval date, and source in the appendix. Final project-specific seismic design remains subject to the governing code and professional review.</x:v>
      </x:c>
      <x:c r="C36" s="64"/>
      <x:c r="D36" s="64"/>
      <x:c r="E36" s="64"/>
      <x:c r="F36" s="64"/>
      <x:c r="G36" s="64"/>
      <x:c r="H36" s="64"/>
      <x:c r="I36" s="78"/>
      <x:c r="J36" s="78"/>
      <x:c r="K36" s="78"/>
    </x:row>
    <x:row r="37">
      <x:c r="B37" s="64"/>
      <x:c r="C37" s="64"/>
      <x:c r="D37" s="64"/>
      <x:c r="E37" s="64"/>
      <x:c r="F37" s="64"/>
      <x:c r="G37" s="64"/>
      <x:c r="H37" s="64"/>
      <x:c r="I37" s="78"/>
      <x:c r="J37" s="78"/>
      <x:c r="K37" s="78"/>
    </x:row>
    <x:row r="38">
      <x:c r="B38" s="258" t="str">
        <x:v>WIND MODULE STATUS</x:v>
      </x:c>
      <x:c r="C38" s="258"/>
      <x:c r="D38" s="258"/>
      <x:c r="E38" s="258"/>
      <x:c r="F38" s="258"/>
      <x:c r="G38" s="258"/>
      <x:c r="H38" s="258"/>
      <x:c r="I38" s="78"/>
      <x:c r="J38" s="78"/>
      <x:c r="K38" s="78"/>
    </x:row>
    <x:row r="39">
      <x:c r="B39" s="64" t="str">
        <x:v>Wind standard</x:v>
      </x:c>
      <x:c r="C39" s="64" t="str">
        <x:v>ASCE/SEI 7-22 Ch. 26–30</x:v>
      </x:c>
      <x:c r="D39" s="64"/>
      <x:c r="E39" s="64"/>
      <x:c r="F39" s="64"/>
      <x:c r="G39" s="64"/>
      <x:c r="H39" s="64"/>
      <x:c r="I39" s="78"/>
      <x:c r="J39" s="78"/>
      <x:c r="K39" s="78"/>
    </x:row>
    <x:row r="40">
      <x:c r="B40" s="78" t="str">
        <x:v>Current implemented method</x:v>
      </x:c>
      <x:c r="C40" s="78" t="str">
        <x:v>Chapter 28 Envelope — low-rise pressure engine</x:v>
      </x:c>
      <x:c r="D40" s="78"/>
      <x:c r="E40" s="78"/>
      <x:c r="F40" s="78"/>
      <x:c r="G40" s="78"/>
      <x:c r="H40" s="78"/>
      <x:c r="I40" s="78"/>
      <x:c r="J40" s="78"/>
      <x:c r="K40" s="78"/>
    </x:row>
    <x:row r="41">
      <x:c r="B41" s="78" t="str">
        <x:v>Hazard source</x:v>
      </x:c>
      <x:c r="C41" s="78" t="str">
        <x:v>ASCE Hazard Tool / CBC wind design geodatabase</x:v>
      </x:c>
      <x:c r="D41" s="78"/>
      <x:c r="E41" s="78"/>
      <x:c r="F41" s="78"/>
      <x:c r="G41" s="78"/>
      <x:c r="H41" s="78"/>
      <x:c r="I41" s="78"/>
      <x:c r="J41" s="78"/>
      <x:c r="K41" s="78"/>
    </x:row>
    <x:row r="42">
      <x:c r="B42" s="78" t="str">
        <x:v>Control note</x:v>
      </x:c>
      <x:c r="C42" s="78" t="str">
        <x:v>Kd is applied in the pressure equation in ASCE 7-22; it is not included in Eq. 26.10-1 velocity pressure.</x:v>
      </x:c>
      <x:c r="D42" s="78"/>
      <x:c r="E42" s="78"/>
      <x:c r="F42" s="78"/>
      <x:c r="G42" s="78"/>
      <x:c r="H42" s="78"/>
      <x:c r="I42" s="78"/>
      <x:c r="J42" s="78"/>
      <x:c r="K42" s="78"/>
    </x:row>
    <x:row r="43" ht="15" hidden="0" customHeight="1">
      <x:c r="B43" s="279" t="str">
        <x:v>SEISMIC MODULE STATUS</x:v>
      </x:c>
      <x:c r="C43" s="279"/>
      <x:c r="D43" s="279"/>
      <x:c r="E43" s="279"/>
      <x:c r="F43" s="279"/>
      <x:c r="G43" s="279"/>
      <x:c r="H43" s="279"/>
      <x:c r="I43" s="78"/>
      <x:c r="J43" s="78"/>
      <x:c r="K43" s="78"/>
    </x:row>
    <x:row r="44" ht="15" hidden="0" customHeight="1">
      <x:c r="B44" s="303" t="str">
        <x:v>Parameter</x:v>
      </x:c>
      <x:c r="C44" s="303" t="str">
        <x:v>Value</x:v>
      </x:c>
      <x:c r="D44" s="303" t="str">
        <x:v>Unit</x:v>
      </x:c>
      <x:c r="E44" s="303" t="str">
        <x:v>Source</x:v>
      </x:c>
      <x:c r="F44" s="303" t="str">
        <x:v>Status</x:v>
      </x:c>
      <x:c r="G44" s="303" t="str">
        <x:v>Reference</x:v>
      </x:c>
      <x:c r="H44" s="78"/>
      <x:c r="I44" s="78"/>
      <x:c r="J44" s="78"/>
      <x:c r="K44" s="78"/>
    </x:row>
    <x:row r="45" ht="26.399999618530273" hidden="0" customHeight="1">
      <x:c r="B45" s="78" t="str">
        <x:v>ELF Method</x:v>
      </x:c>
      <x:c r="C45" s="78" t="str">
        <x:v>Method 2 — two-period spectrum</x:v>
      </x:c>
      <x:c r="D45" s="78"/>
      <x:c r="E45" s="78" t="str">
        <x:v>18_SEISMIC</x:v>
      </x:c>
      <x:c r="F45" s="78" t="str">
        <x:v>ACTIVE</x:v>
      </x:c>
      <x:c r="G45" s="78" t="str">
        <x:v>ASCE 7-22 §12.8.1.1</x:v>
      </x:c>
      <x:c r="H45" s="78"/>
      <x:c r="I45" s="78"/>
      <x:c r="J45" s="78"/>
      <x:c r="K45" s="78"/>
    </x:row>
    <x:row r="46" ht="15" hidden="0" customHeight="1">
      <x:c r="B46" s="78" t="str">
        <x:v>Ss</x:v>
      </x:c>
      <x:c r="C46" s="78" t="str">
        <x:f>IF('01_INPUTS'!C78="","",'01_INPUTS'!C78)</x:f>
      </x:c>
      <x:c r="D46" s="78" t="str">
        <x:v>g</x:v>
      </x:c>
      <x:c r="E46" s="78" t="str">
        <x:v>01_INPUTS / USGS</x:v>
      </x:c>
      <x:c r="F46" s="78" t="str">
        <x:f>IF(C46="","PENDING",IF(OR(C46="PASS",C46="CHECK"),C46,"AVAILABLE"))</x:f>
        <x:v>PENDING</x:v>
      </x:c>
      <x:c r="G46" s="78" t="str">
        <x:v>USGS ASCE7-22</x:v>
      </x:c>
      <x:c r="H46" s="78"/>
      <x:c r="I46" s="78"/>
      <x:c r="J46" s="78"/>
      <x:c r="K46" s="78"/>
    </x:row>
    <x:row r="47" ht="15" hidden="0" customHeight="1">
      <x:c r="B47" s="78" t="str">
        <x:v>S1</x:v>
      </x:c>
      <x:c r="C47" s="78" t="str">
        <x:f>IF('01_INPUTS'!C77="","",'01_INPUTS'!C77)</x:f>
      </x:c>
      <x:c r="D47" s="78" t="str">
        <x:v>g</x:v>
      </x:c>
      <x:c r="E47" s="78" t="str">
        <x:v>01_INPUTS / USGS</x:v>
      </x:c>
      <x:c r="F47" s="78" t="str">
        <x:f>IF(C47="","PENDING",IF(OR(C47="PASS",C47="CHECK"),C47,"AVAILABLE"))</x:f>
        <x:v>PENDING</x:v>
      </x:c>
      <x:c r="G47" s="78" t="str">
        <x:v>USGS ASCE7-22</x:v>
      </x:c>
      <x:c r="H47" s="78"/>
      <x:c r="I47" s="78"/>
      <x:c r="J47" s="78"/>
      <x:c r="K47" s="78"/>
    </x:row>
    <x:row r="48" ht="15" hidden="0" customHeight="1">
      <x:c r="B48" s="78" t="str">
        <x:v>Ts</x:v>
      </x:c>
      <x:c r="C48" s="78" t="str">
        <x:f>'18_SEISMIC'!C16</x:f>
      </x:c>
      <x:c r="D48" s="78" t="str">
        <x:v>sec</x:v>
      </x:c>
      <x:c r="E48" s="78" t="str">
        <x:v>18_SEISMIC</x:v>
      </x:c>
      <x:c r="F48" s="78" t="str">
        <x:f>IF(C48="","PENDING",IF(OR(C48="PASS",C48="CHECK"),C48,"AVAILABLE"))</x:f>
        <x:v>PENDING</x:v>
      </x:c>
      <x:c r="G48" s="78" t="str">
        <x:v>SD1/SDS</x:v>
      </x:c>
      <x:c r="H48" s="78"/>
      <x:c r="I48" s="78"/>
      <x:c r="J48" s="78"/>
      <x:c r="K48" s="78"/>
    </x:row>
    <x:row r="49" ht="15" hidden="0" customHeight="1">
      <x:c r="B49" s="78" t="str">
        <x:v>T0</x:v>
      </x:c>
      <x:c r="C49" s="78" t="n">
        <x:f>'18_SEISMIC'!C17</x:f>
        <x:v>0</x:v>
      </x:c>
      <x:c r="D49" s="78" t="str">
        <x:v>sec</x:v>
      </x:c>
      <x:c r="E49" s="78" t="str">
        <x:v>18_SEISMIC</x:v>
      </x:c>
      <x:c r="F49" s="78" t="str">
        <x:f>IF(C49="","PENDING",IF(OR(C49="PASS",C49="CHECK"),C49,"AVAILABLE"))</x:f>
        <x:v>PENDING</x:v>
      </x:c>
      <x:c r="G49" s="78" t="str">
        <x:v>0.2Ts</x:v>
      </x:c>
      <x:c r="H49" s="78"/>
      <x:c r="I49" s="78"/>
      <x:c r="J49" s="78"/>
      <x:c r="K49" s="78"/>
    </x:row>
    <x:row r="50" ht="15" hidden="0" customHeight="1">
      <x:c r="B50" s="78" t="str">
        <x:v>Importance Factor Ie</x:v>
      </x:c>
      <x:c r="C50" s="78" t="n">
        <x:f>'18_SEISMIC'!C9</x:f>
        <x:v>0</x:v>
      </x:c>
      <x:c r="D50" s="78"/>
      <x:c r="E50" s="78" t="str">
        <x:v>18_SEISMIC</x:v>
      </x:c>
      <x:c r="F50" s="78" t="str">
        <x:f>IF(C50="","PENDING",IF(OR(C50="PASS",C50="CHECK"),C50,"AVAILABLE"))</x:f>
        <x:v>PENDING</x:v>
      </x:c>
      <x:c r="G50" s="78" t="str">
        <x:v>ASCE 7-22 Table 1.5-2</x:v>
      </x:c>
      <x:c r="H50" s="78"/>
      <x:c r="I50" s="78"/>
      <x:c r="J50" s="78"/>
      <x:c r="K50" s="78"/>
    </x:row>
    <x:row r="51" ht="15" hidden="0" customHeight="1">
      <x:c r="B51" s="78" t="str">
        <x:v>Effective Seismic Weight W</x:v>
      </x:c>
      <x:c r="C51" s="78" t="str">
        <x:f>'18_SEISMIC'!C19</x:f>
      </x:c>
      <x:c r="D51" s="78" t="str">
        <x:v>kips</x:v>
      </x:c>
      <x:c r="E51" s="78" t="str">
        <x:v>18_SEISMIC</x:v>
      </x:c>
      <x:c r="F51" s="78" t="str">
        <x:f>IF(C51="","PENDING",IF(OR(C51="PASS",C51="CHECK"),C51,"AVAILABLE"))</x:f>
        <x:v>PENDING</x:v>
      </x:c>
      <x:c r="G51" s="78" t="str">
        <x:v>ASCE 7-22 §12.7.2</x:v>
      </x:c>
      <x:c r="H51" s="78"/>
      <x:c r="I51" s="78"/>
      <x:c r="J51" s="78"/>
      <x:c r="K51" s="78"/>
    </x:row>
    <x:row r="52" ht="15" hidden="0" customHeight="1">
      <x:c r="B52" s="78" t="str">
        <x:v>Base Shear Vx</x:v>
      </x:c>
      <x:c r="C52" s="78" t="n">
        <x:f>'18_SEISMIC'!K31</x:f>
        <x:v>0</x:v>
      </x:c>
      <x:c r="D52" s="78" t="str">
        <x:v>kips</x:v>
      </x:c>
      <x:c r="E52" s="78" t="str">
        <x:v>18_SEISMIC</x:v>
      </x:c>
      <x:c r="F52" s="78" t="str">
        <x:f>IF(C52="","PENDING",IF(OR(C52="PASS",C52="CHECK"),C52,"AVAILABLE"))</x:f>
        <x:v>PENDING</x:v>
      </x:c>
      <x:c r="G52" s="78" t="str">
        <x:v>ASCE 7-22 Eq. 12.8-1</x:v>
      </x:c>
      <x:c r="H52" s="78"/>
      <x:c r="I52" s="78"/>
      <x:c r="J52" s="78"/>
      <x:c r="K52" s="78"/>
    </x:row>
    <x:row r="53" ht="15" hidden="0" customHeight="1">
      <x:c r="B53" s="78" t="str">
        <x:v>Base Shear Vy</x:v>
      </x:c>
      <x:c r="C53" s="78" t="n">
        <x:f>'18_SEISMIC'!K32</x:f>
        <x:v>0</x:v>
      </x:c>
      <x:c r="D53" s="78" t="str">
        <x:v>kips</x:v>
      </x:c>
      <x:c r="E53" s="78" t="str">
        <x:v>18_SEISMIC</x:v>
      </x:c>
      <x:c r="F53" s="78" t="str">
        <x:f>IF(C53="","PENDING",IF(OR(C53="PASS",C53="CHECK"),C53,"AVAILABLE"))</x:f>
        <x:v>PENDING</x:v>
      </x:c>
      <x:c r="G53" s="78" t="str">
        <x:v>ASCE 7-22 Eq. 12.8-1</x:v>
      </x:c>
      <x:c r="H53" s="78"/>
      <x:c r="I53" s="78"/>
      <x:c r="J53" s="78"/>
      <x:c r="K53" s="78"/>
    </x:row>
    <x:row r="54" ht="26.399999618530273" hidden="0" customHeight="1">
      <x:c r="B54" s="78" t="str">
        <x:v>Seismic Validation</x:v>
      </x:c>
      <x:c r="C54" s="78" t="str">
        <x:f>'18_SEISMIC'!G80</x:f>
        <x:v>PENDING</x:v>
      </x:c>
      <x:c r="D54" s="78"/>
      <x:c r="E54" s="78" t="str">
        <x:v>18_SEISMIC / 05_QA_VALIDATION</x:v>
      </x:c>
      <x:c r="F54" s="78" t="str">
        <x:f>IF(C54="","PENDING",IF(OR(C54="PASS",C54="CHECK"),C54,"AVAILABLE"))</x:f>
        <x:v>AVAILABLE</x:v>
      </x:c>
      <x:c r="G54" s="78" t="str">
        <x:v>Independent algebra + locked benchmarks</x:v>
      </x:c>
      <x:c r="H54" s="78"/>
      <x:c r="I54" s="78"/>
      <x:c r="J54" s="78"/>
      <x:c r="K54" s="78"/>
    </x:row>
    <x:row r="55" ht="52.79999923706055" hidden="0" customHeight="1">
      <x:c r="B55" s="78" t="str">
        <x:v>Control</x:v>
      </x:c>
      <x:c r="C55" s="78" t="str">
        <x:v>System/irregularity, torsion, orthogonal effects, drift/P-Delta remain review-controlled.</x:v>
      </x:c>
      <x:c r="D55" s="78"/>
      <x:c r="E55" s="78" t="str">
        <x:v>18_SEISMIC</x:v>
      </x:c>
      <x:c r="F55" s="78" t="str">
        <x:v>REVIEW</x:v>
      </x:c>
      <x:c r="G55" s="78" t="str">
        <x:v>ASCE 7-22 Ch. 12</x:v>
      </x:c>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H3"/>
    <x:mergeCell ref="B5:F5"/>
    <x:mergeCell ref="B15:H15"/>
    <x:mergeCell ref="B28:H28"/>
    <x:mergeCell ref="B36:H39"/>
    <x:mergeCell ref="B38:H38"/>
    <x:mergeCell ref="B43:H43"/>
  </x:mergeCells>
  <x:conditionalFormatting sqref="F17:F25">
    <x:cfRule type="expression" dxfId="3" priority="1">
      <x:formula>F17="PASS"</x:formula>
    </x:cfRule>
    <x:cfRule type="expression" dxfId="4" priority="2">
      <x:formula>OR(F17="REVIEW",F17="INCOMPLETE",F17="PENDING",F17="MISSING")</x:formula>
    </x:cfRule>
    <x:cfRule type="expression" dxfId="5" priority="3">
      <x:formula>OR(F17="FAIL",F17="ERROR")</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GRAVITY LOAD / SIMPLE BEAM CHECK</x:v>
      </x:c>
      <x:c r="C2" s="79"/>
      <x:c r="D2" s="79"/>
      <x:c r="E2" s="79"/>
      <x:c r="F2" s="79"/>
      <x:c r="G2" s="79"/>
      <x:c r="H2" s="79"/>
      <x:c r="I2" s="79"/>
      <x:c r="J2" s="78"/>
      <x:c r="K2" s="78"/>
    </x:row>
    <x:row r="3">
      <x:c r="B3" s="79"/>
      <x:c r="C3" s="79"/>
      <x:c r="D3" s="79"/>
      <x:c r="E3" s="79"/>
      <x:c r="F3" s="79"/>
      <x:c r="G3" s="79"/>
      <x:c r="H3" s="79"/>
      <x:c r="I3" s="79"/>
      <x:c r="J3" s="78"/>
      <x:c r="K3" s="78"/>
    </x:row>
    <x:row r="4">
      <x:c r="B4" s="64" t="str">
        <x:v>Load-effects module: simply supported rectangular member under uniform area loads. NDS capacity, adjustment factors, bearing, and serviceability design are now handled in 20_WOOD_BEAM.</x:v>
      </x:c>
      <x:c r="C4" s="64"/>
      <x:c r="D4" s="64"/>
      <x:c r="E4" s="64"/>
      <x:c r="F4" s="64"/>
      <x:c r="G4" s="64"/>
      <x:c r="H4" s="64"/>
      <x:c r="I4" s="64"/>
      <x:c r="J4" s="78"/>
      <x:c r="K4" s="78"/>
    </x:row>
    <x:row r="5">
      <x:c r="B5" s="64"/>
      <x:c r="C5" s="64"/>
      <x:c r="D5" s="64"/>
      <x:c r="E5" s="64"/>
      <x:c r="F5" s="64"/>
      <x:c r="G5" s="64"/>
      <x:c r="H5" s="64"/>
      <x:c r="I5" s="64"/>
      <x:c r="J5" s="78"/>
      <x:c r="K5" s="78"/>
    </x:row>
    <x:row r="6">
      <x:c r="B6" s="78"/>
      <x:c r="C6" s="78"/>
      <x:c r="D6" s="78"/>
      <x:c r="E6" s="78"/>
      <x:c r="F6" s="78"/>
      <x:c r="G6" s="78"/>
      <x:c r="H6" s="78"/>
      <x:c r="I6" s="78"/>
      <x:c r="J6" s="78"/>
      <x:c r="K6" s="78"/>
    </x:row>
    <x:row r="7">
      <x:c r="B7" s="81" t="str">
        <x:v>CALCULATION INPUTS</x:v>
      </x:c>
      <x:c r="C7" s="81"/>
      <x:c r="D7" s="81"/>
      <x:c r="E7" s="81"/>
      <x:c r="F7" s="78"/>
      <x:c r="G7" s="78"/>
      <x:c r="H7" s="78"/>
      <x:c r="I7" s="78"/>
      <x:c r="J7" s="78"/>
      <x:c r="K7" s="78"/>
    </x:row>
    <x:row r="8">
      <x:c r="B8" s="28" t="str">
        <x:v>Parameter</x:v>
      </x:c>
      <x:c r="C8" s="28" t="str">
        <x:v>Value</x:v>
      </x:c>
      <x:c r="D8" s="28" t="str">
        <x:v>Unit</x:v>
      </x:c>
      <x:c r="E8" s="28" t="str">
        <x:v>Source</x:v>
      </x:c>
      <x:c r="F8" s="78"/>
      <x:c r="G8" s="78"/>
      <x:c r="H8" s="78"/>
      <x:c r="I8" s="78"/>
      <x:c r="J8" s="78"/>
      <x:c r="K8" s="78"/>
    </x:row>
    <x:row r="9">
      <x:c r="B9" s="78" t="str">
        <x:v>Load Type</x:v>
      </x:c>
      <x:c r="C9" s="102" t="str">
        <x:v>Roof</x:v>
      </x:c>
      <x:c r="D9" s="78" t="str"/>
      <x:c r="E9" s="78" t="str">
        <x:v>User selection</x:v>
      </x:c>
      <x:c r="F9" s="78"/>
      <x:c r="G9" s="78"/>
      <x:c r="H9" s="78"/>
      <x:c r="I9" s="78"/>
      <x:c r="J9" s="78"/>
      <x:c r="K9" s="78"/>
    </x:row>
    <x:row r="10">
      <x:c r="B10" s="78" t="str">
        <x:v>Span L</x:v>
      </x:c>
      <x:c r="C10" s="83" t="str">
        <x:f>IF('01_INPUTS'!C30="","",'01_INPUTS'!C30)</x:f>
      </x:c>
      <x:c r="D10" s="78" t="str">
        <x:v>ft</x:v>
      </x:c>
      <x:c r="E10" s="78" t="str">
        <x:v>01_INPUTS</x:v>
      </x:c>
      <x:c r="F10" s="78"/>
      <x:c r="G10" s="78"/>
      <x:c r="H10" s="78"/>
      <x:c r="I10" s="78"/>
      <x:c r="J10" s="78"/>
      <x:c r="K10" s="78"/>
    </x:row>
    <x:row r="11">
      <x:c r="B11" s="78" t="str">
        <x:v>Tributary Width</x:v>
      </x:c>
      <x:c r="C11" s="83" t="str">
        <x:f>IF('01_INPUTS'!C31="","",'01_INPUTS'!C31)</x:f>
      </x:c>
      <x:c r="D11" s="78" t="str">
        <x:v>ft</x:v>
      </x:c>
      <x:c r="E11" s="78" t="str">
        <x:v>01_INPUTS</x:v>
      </x:c>
      <x:c r="F11" s="78"/>
      <x:c r="G11" s="78"/>
      <x:c r="H11" s="78"/>
      <x:c r="I11" s="78"/>
      <x:c r="J11" s="78"/>
      <x:c r="K11" s="78"/>
    </x:row>
    <x:row r="12">
      <x:c r="B12" s="78" t="str">
        <x:v>Dead Load qD</x:v>
      </x:c>
      <x:c r="C12" s="83" t="str">
        <x:f>IF(C9="Roof",IF('01_INPUTS'!C37="","",'01_INPUTS'!C37),IF('01_INPUTS'!C39="","",'01_INPUTS'!C39))</x:f>
      </x:c>
      <x:c r="D12" s="78" t="str">
        <x:v>psf</x:v>
      </x:c>
      <x:c r="E12" s="78" t="str">
        <x:v>01_INPUTS</x:v>
      </x:c>
      <x:c r="F12" s="78"/>
      <x:c r="G12" s="78"/>
      <x:c r="H12" s="78"/>
      <x:c r="I12" s="78"/>
      <x:c r="J12" s="78"/>
      <x:c r="K12" s="78"/>
    </x:row>
    <x:row r="13">
      <x:c r="B13" s="78" t="str">
        <x:v>Live Load qL</x:v>
      </x:c>
      <x:c r="C13" s="83" t="str">
        <x:f>IF(C9="Roof",IF('01_INPUTS'!C38="","",'01_INPUTS'!C38),IF('01_INPUTS'!C40="","",'01_INPUTS'!C40))</x:f>
      </x:c>
      <x:c r="D13" s="78" t="str">
        <x:v>psf</x:v>
      </x:c>
      <x:c r="E13" s="78" t="str">
        <x:v>01_INPUTS</x:v>
      </x:c>
      <x:c r="F13" s="78"/>
      <x:c r="G13" s="78"/>
      <x:c r="H13" s="78"/>
      <x:c r="I13" s="78"/>
      <x:c r="J13" s="78"/>
      <x:c r="K13" s="78"/>
    </x:row>
    <x:row r="14">
      <x:c r="B14" s="78" t="str">
        <x:v>Actual Width b</x:v>
      </x:c>
      <x:c r="C14" s="83" t="str">
        <x:f>IF('01_INPUTS'!C32="","",'01_INPUTS'!C32)</x:f>
      </x:c>
      <x:c r="D14" s="78" t="str">
        <x:v>in</x:v>
      </x:c>
      <x:c r="E14" s="78" t="str">
        <x:v>01_INPUTS</x:v>
      </x:c>
      <x:c r="F14" s="78"/>
      <x:c r="G14" s="78"/>
      <x:c r="H14" s="78"/>
      <x:c r="I14" s="78"/>
      <x:c r="J14" s="78"/>
      <x:c r="K14" s="78"/>
    </x:row>
    <x:row r="15">
      <x:c r="B15" s="78" t="str">
        <x:v>Actual Depth d</x:v>
      </x:c>
      <x:c r="C15" s="83" t="str">
        <x:f>IF('01_INPUTS'!C33="","",'01_INPUTS'!C33)</x:f>
      </x:c>
      <x:c r="D15" s="78" t="str">
        <x:v>in</x:v>
      </x:c>
      <x:c r="E15" s="78" t="str">
        <x:v>01_INPUTS</x:v>
      </x:c>
      <x:c r="F15" s="78"/>
      <x:c r="G15" s="78"/>
      <x:c r="H15" s="78"/>
      <x:c r="I15" s="78"/>
      <x:c r="J15" s="78"/>
      <x:c r="K15" s="78"/>
    </x:row>
    <x:row r="16">
      <x:c r="B16" s="78" t="str">
        <x:v>Modulus E</x:v>
      </x:c>
      <x:c r="C16" s="83" t="str">
        <x:f>IF('01_INPUTS'!C60="","",'01_INPUTS'!C60)</x:f>
      </x:c>
      <x:c r="D16" s="78" t="str">
        <x:v>psi</x:v>
      </x:c>
      <x:c r="E16" s="78" t="str">
        <x:v>01_INPUTS / NDS source</x:v>
      </x:c>
      <x:c r="F16" s="78"/>
      <x:c r="G16" s="78"/>
      <x:c r="H16" s="78"/>
      <x:c r="I16" s="78"/>
      <x:c r="J16" s="78"/>
      <x:c r="K16" s="78"/>
    </x:row>
    <x:row r="17">
      <x:c r="B17" s="78"/>
      <x:c r="C17" s="78"/>
      <x:c r="D17" s="78"/>
      <x:c r="E17" s="78"/>
      <x:c r="F17" s="78"/>
      <x:c r="G17" s="78"/>
      <x:c r="H17" s="78"/>
      <x:c r="I17" s="78"/>
      <x:c r="J17" s="78"/>
      <x:c r="K17" s="78"/>
    </x:row>
    <x:row r="18">
      <x:c r="B18" s="81" t="str">
        <x:v>RESULTS + REDUNDANT CROSS-CHECK</x:v>
      </x:c>
      <x:c r="C18" s="81"/>
      <x:c r="D18" s="81"/>
      <x:c r="E18" s="81"/>
      <x:c r="F18" s="81"/>
      <x:c r="G18" s="81"/>
      <x:c r="H18" s="112" t="str">
        <x:f>IF(COUNTIF(I20:I28,"REVIEW")&gt;0,"REVIEW",IF(COUNTIF(I20:I28,"PASS")&gt;=7,"PASS",""))</x:f>
      </x:c>
      <x:c r="I18" s="81"/>
      <x:c r="J18" s="78"/>
      <x:c r="K18" s="78"/>
    </x:row>
    <x:row r="19">
      <x:c r="B19" s="28" t="str">
        <x:v>Result</x:v>
      </x:c>
      <x:c r="C19" s="28" t="str">
        <x:v>Primary Calculation</x:v>
      </x:c>
      <x:c r="D19" s="28" t="str">
        <x:v>Unit</x:v>
      </x:c>
      <x:c r="E19" s="28" t="str">
        <x:v>Cross-Check</x:v>
      </x:c>
      <x:c r="F19" s="28" t="str">
        <x:v>Unit</x:v>
      </x:c>
      <x:c r="G19" s="28" t="str">
        <x:v>Difference</x:v>
      </x:c>
      <x:c r="H19" s="28" t="str">
        <x:v>Tolerance</x:v>
      </x:c>
      <x:c r="I19" s="28" t="str">
        <x:v>Status</x:v>
      </x:c>
      <x:c r="J19" s="78"/>
      <x:c r="K19" s="78"/>
    </x:row>
    <x:row r="20">
      <x:c r="B20" s="78" t="str">
        <x:v>Section Inertia I</x:v>
      </x:c>
      <x:c r="C20" s="124" t="str">
        <x:f>IF(OR(C14="",C15=""),"",C14*C15^3/12)</x:f>
      </x:c>
      <x:c r="D20" s="78" t="str">
        <x:v>in^4</x:v>
      </x:c>
      <x:c r="E20" s="126" t="str">
        <x:f>IF(OR(C14="",C15=""),"",(C14*C15)*(C15^2)/12)</x:f>
      </x:c>
      <x:c r="F20" s="78" t="str">
        <x:v>in^4</x:v>
      </x:c>
      <x:c r="G20" s="128" t="str">
        <x:f>IF(OR(C20="",E20=""),"",ABS(C20-E20))</x:f>
      </x:c>
      <x:c r="H20" s="78" t="str">
        <x:v>0.0001</x:v>
      </x:c>
      <x:c r="I20" s="83" t="str">
        <x:f>IF(G20="","",IF(G20&lt;=H20,"PASS","REVIEW"))</x:f>
      </x:c>
      <x:c r="J20" s="78"/>
      <x:c r="K20" s="78"/>
    </x:row>
    <x:row r="21">
      <x:c r="B21" s="78" t="str">
        <x:v>Dead line load wD</x:v>
      </x:c>
      <x:c r="C21" s="124" t="str">
        <x:f>IF(OR(C12="",C11=""),"",C12*C11)</x:f>
      </x:c>
      <x:c r="D21" s="78" t="str">
        <x:v>plf</x:v>
      </x:c>
      <x:c r="E21" s="126" t="str">
        <x:f>IF(OR(C12="",C11="",C10=""),"",(C12*(C11*C10))/C10)</x:f>
      </x:c>
      <x:c r="F21" s="78" t="str">
        <x:v>plf</x:v>
      </x:c>
      <x:c r="G21" s="128" t="str">
        <x:f>IF(OR(C21="",E21=""),"",ABS(C21-E21))</x:f>
      </x:c>
      <x:c r="H21" s="78" t="str">
        <x:v>0.01</x:v>
      </x:c>
      <x:c r="I21" s="83" t="str">
        <x:f>IF(G21="","",IF(G21&lt;=H21,"PASS","REVIEW"))</x:f>
      </x:c>
      <x:c r="J21" s="78"/>
      <x:c r="K21" s="78"/>
    </x:row>
    <x:row r="22">
      <x:c r="B22" s="78" t="str">
        <x:v>Live line load wL</x:v>
      </x:c>
      <x:c r="C22" s="124" t="str">
        <x:f>IF(OR(C13="",C11=""),"",C13*C11)</x:f>
      </x:c>
      <x:c r="D22" s="78" t="str">
        <x:v>plf</x:v>
      </x:c>
      <x:c r="E22" s="126" t="str">
        <x:f>IF(OR(C13="",C11="",C10=""),"",(C13*(C11*C10))/C10)</x:f>
      </x:c>
      <x:c r="F22" s="78" t="str">
        <x:v>plf</x:v>
      </x:c>
      <x:c r="G22" s="128" t="str">
        <x:f>IF(OR(C22="",E22=""),"",ABS(C22-E22))</x:f>
      </x:c>
      <x:c r="H22" s="78" t="str">
        <x:v>0.01</x:v>
      </x:c>
      <x:c r="I22" s="83" t="str">
        <x:f>IF(G22="","",IF(G22&lt;=H22,"PASS","REVIEW"))</x:f>
      </x:c>
      <x:c r="J22" s="78"/>
      <x:c r="K22" s="78"/>
    </x:row>
    <x:row r="23">
      <x:c r="B23" s="78" t="str">
        <x:v>Total line load w</x:v>
      </x:c>
      <x:c r="C23" s="124" t="str">
        <x:f>IF(OR(C21="",C22=""),"",C21+C22)</x:f>
      </x:c>
      <x:c r="D23" s="78" t="str">
        <x:v>plf</x:v>
      </x:c>
      <x:c r="E23" s="126" t="str">
        <x:f>IF(OR(E21="",E22=""),"",E21+E22)</x:f>
      </x:c>
      <x:c r="F23" s="78" t="str">
        <x:v>plf</x:v>
      </x:c>
      <x:c r="G23" s="128" t="str">
        <x:f>IF(OR(C23="",E23=""),"",ABS(C23-E23))</x:f>
      </x:c>
      <x:c r="H23" s="78" t="str">
        <x:v>0.01</x:v>
      </x:c>
      <x:c r="I23" s="83" t="str">
        <x:f>IF(G23="","",IF(G23&lt;=H23,"PASS","REVIEW"))</x:f>
      </x:c>
      <x:c r="J23" s="78"/>
      <x:c r="K23" s="78"/>
    </x:row>
    <x:row r="24">
      <x:c r="B24" s="78" t="str">
        <x:v>Total applied load W</x:v>
      </x:c>
      <x:c r="C24" s="124" t="str">
        <x:f>IF(OR(C23="",C10=""),"",C23*C10)</x:f>
      </x:c>
      <x:c r="D24" s="78" t="str">
        <x:v>lb</x:v>
      </x:c>
      <x:c r="E24" s="126" t="str">
        <x:f>IF(OR(E23="",C10=""),"",E23*C10)</x:f>
      </x:c>
      <x:c r="F24" s="78" t="str">
        <x:v>lb</x:v>
      </x:c>
      <x:c r="G24" s="128" t="str">
        <x:f>IF(OR(C24="",E24=""),"",ABS(C24-E24))</x:f>
      </x:c>
      <x:c r="H24" s="78" t="str">
        <x:v>0.01</x:v>
      </x:c>
      <x:c r="I24" s="83" t="str">
        <x:f>IF(G24="","",IF(G24&lt;=H24,"PASS","REVIEW"))</x:f>
      </x:c>
      <x:c r="J24" s="78"/>
      <x:c r="K24" s="78"/>
    </x:row>
    <x:row r="25">
      <x:c r="B25" s="78" t="str">
        <x:v>End reaction R</x:v>
      </x:c>
      <x:c r="C25" s="124" t="str">
        <x:f>IF(C24="","",C24/2)</x:f>
      </x:c>
      <x:c r="D25" s="78" t="str">
        <x:v>lb</x:v>
      </x:c>
      <x:c r="E25" s="126" t="str">
        <x:f>IF(E24="","",E24*0.5)</x:f>
      </x:c>
      <x:c r="F25" s="78" t="str">
        <x:v>lb</x:v>
      </x:c>
      <x:c r="G25" s="128" t="str">
        <x:f>IF(OR(C25="",E25=""),"",ABS(C25-E25))</x:f>
      </x:c>
      <x:c r="H25" s="78" t="str">
        <x:v>0.01</x:v>
      </x:c>
      <x:c r="I25" s="83" t="str">
        <x:f>IF(G25="","",IF(G25&lt;=H25,"PASS","REVIEW"))</x:f>
      </x:c>
      <x:c r="J25" s="78"/>
      <x:c r="K25" s="78"/>
    </x:row>
    <x:row r="26">
      <x:c r="B26" s="78" t="str">
        <x:v>Maximum moment M</x:v>
      </x:c>
      <x:c r="C26" s="124" t="str">
        <x:f>IF(OR(C23="",C10=""),"",C23*C10^2/8)</x:f>
      </x:c>
      <x:c r="D26" s="78" t="str">
        <x:v>ft-lb</x:v>
      </x:c>
      <x:c r="E26" s="126" t="str">
        <x:f>IF(OR(E25="",E23="",C10=""),"",E25*(C10/2)-E23*(C10/2)^2/2)</x:f>
      </x:c>
      <x:c r="F26" s="78" t="str">
        <x:v>ft-lb</x:v>
      </x:c>
      <x:c r="G26" s="128" t="str">
        <x:f>IF(OR(C26="",E26=""),"",ABS(C26-E26))</x:f>
      </x:c>
      <x:c r="H26" s="78" t="str">
        <x:v>0.01</x:v>
      </x:c>
      <x:c r="I26" s="83" t="str">
        <x:f>IF(G26="","",IF(G26&lt;=H26,"PASS","REVIEW"))</x:f>
      </x:c>
      <x:c r="J26" s="78"/>
      <x:c r="K26" s="78"/>
    </x:row>
    <x:row r="27">
      <x:c r="B27" s="78" t="str">
        <x:v>Max deflection Δ</x:v>
      </x:c>
      <x:c r="C27" s="124" t="str">
        <x:f>IF(OR(C23="",C10="",C16="",C20=""),"",5*(C23/12)*(C10*12)^4/(384*C16*C20))</x:f>
      </x:c>
      <x:c r="D27" s="78" t="str">
        <x:v>in</x:v>
      </x:c>
      <x:c r="E27" s="126" t="str">
        <x:f>IF(OR(E24="",C10="",C16="",E20=""),"",5*E24*(C10*12)^3/(384*C16*E20))</x:f>
      </x:c>
      <x:c r="F27" s="78" t="str">
        <x:v>in</x:v>
      </x:c>
      <x:c r="G27" s="128" t="str">
        <x:f>IF(OR(C27="",E27=""),"",ABS(C27-E27))</x:f>
      </x:c>
      <x:c r="H27" s="78" t="str">
        <x:v>0.001</x:v>
      </x:c>
      <x:c r="I27" s="83" t="str">
        <x:f>IF(G27="","",IF(G27&lt;=H27,"PASS","REVIEW"))</x:f>
      </x:c>
      <x:c r="J27" s="78"/>
      <x:c r="K27" s="78"/>
    </x:row>
    <x:row r="28">
      <x:c r="B28" s="78" t="str">
        <x:v>Span / deflection</x:v>
      </x:c>
      <x:c r="C28" s="124" t="str">
        <x:f>IF(OR(C27="",C27=0),"",(C10*12)/C27)</x:f>
      </x:c>
      <x:c r="D28" s="78" t="str">
        <x:v>L/x</x:v>
      </x:c>
      <x:c r="E28" s="126" t="str">
        <x:f>IF(OR(E27="",E27=0),"",(C10*12)/E27)</x:f>
      </x:c>
      <x:c r="F28" s="78" t="str">
        <x:v>L/x</x:v>
      </x:c>
      <x:c r="G28" s="128" t="str">
        <x:f>IF(OR(C28="",E28=""),"",ABS(C28-E28))</x:f>
      </x:c>
      <x:c r="H28" s="78" t="str">
        <x:v>0.01</x:v>
      </x:c>
      <x:c r="I28" s="83" t="str">
        <x:f>IF(G28="","",IF(G28&lt;=H28,"PASS","REVIEW"))</x:f>
      </x:c>
      <x:c r="J28" s="78"/>
      <x:c r="K28" s="78"/>
    </x:row>
    <x:row r="29">
      <x:c r="B29" s="78"/>
      <x:c r="C29" s="78"/>
      <x:c r="D29" s="78"/>
      <x:c r="E29" s="78"/>
      <x:c r="F29" s="78"/>
      <x:c r="G29" s="78"/>
      <x:c r="H29" s="78"/>
      <x:c r="I29" s="78"/>
      <x:c r="J29" s="78"/>
      <x:c r="K29" s="78"/>
    </x:row>
    <x:row r="30">
      <x:c r="B30" s="78"/>
      <x:c r="C30" s="78"/>
      <x:c r="D30" s="78"/>
      <x:c r="E30" s="78"/>
      <x:c r="F30" s="78"/>
      <x:c r="G30" s="78"/>
      <x:c r="H30" s="78"/>
      <x:c r="I30" s="78"/>
      <x:c r="J30" s="78"/>
      <x:c r="K30" s="78"/>
    </x:row>
    <x:row r="31">
      <x:c r="B31" s="81" t="str">
        <x:v>SERVICEABILITY SCREEN</x:v>
      </x:c>
      <x:c r="C31" s="81"/>
      <x:c r="D31" s="81"/>
      <x:c r="E31" s="81"/>
      <x:c r="F31" s="81"/>
      <x:c r="G31" s="78"/>
      <x:c r="H31" s="78"/>
      <x:c r="I31" s="78"/>
      <x:c r="J31" s="78"/>
      <x:c r="K31" s="78"/>
    </x:row>
    <x:row r="32">
      <x:c r="B32" s="28" t="str">
        <x:v>Check</x:v>
      </x:c>
      <x:c r="C32" s="28" t="str">
        <x:v>Calculated</x:v>
      </x:c>
      <x:c r="D32" s="28" t="str">
        <x:v>Limit</x:v>
      </x:c>
      <x:c r="E32" s="28" t="str">
        <x:v>Status</x:v>
      </x:c>
      <x:c r="F32" s="28" t="str">
        <x:v>Note</x:v>
      </x:c>
      <x:c r="G32" s="78"/>
      <x:c r="H32" s="78"/>
      <x:c r="I32" s="78"/>
      <x:c r="J32" s="78"/>
      <x:c r="K32" s="78"/>
    </x:row>
    <x:row r="33">
      <x:c r="B33" s="78" t="str">
        <x:v>Span / deflection</x:v>
      </x:c>
      <x:c r="C33" s="78" t="str">
        <x:f>IF(C28="","",C28)</x:f>
      </x:c>
      <x:c r="D33" s="78" t="str">
        <x:f>IF('01_INPUTS'!C34="","",'01_INPUTS'!C34)</x:f>
      </x:c>
      <x:c r="E33" s="83" t="str">
        <x:f>IF(OR(C33="",D33=""),"",IF(C33&gt;=D33,"PASS","REVIEW"))</x:f>
      </x:c>
      <x:c r="F33" s="78" t="str">
        <x:v>User-entered L/x limit</x:v>
      </x:c>
      <x:c r="G33" s="78"/>
      <x:c r="H33" s="78"/>
      <x:c r="I33" s="78"/>
      <x:c r="J33" s="78"/>
      <x:c r="K33" s="78"/>
    </x:row>
    <x:row r="34">
      <x:c r="B34" s="78" t="str">
        <x:v>Deflection</x:v>
      </x:c>
      <x:c r="C34" s="78" t="str">
        <x:f>IF(C27="","",C27)</x:f>
      </x:c>
      <x:c r="D34" s="78" t="str">
        <x:v>in</x:v>
      </x:c>
      <x:c r="E34" s="83" t="str"/>
      <x:c r="F34" s="78" t="str">
        <x:v>Calculated from total D+L for preliminary screen</x:v>
      </x:c>
      <x:c r="G34" s="78"/>
      <x:c r="H34" s="78"/>
      <x:c r="I34" s="78"/>
      <x:c r="J34" s="78"/>
      <x:c r="K34" s="78"/>
    </x:row>
    <x:row r="35">
      <x:c r="B35" s="78" t="str">
        <x:v>Limit deflection</x:v>
      </x:c>
      <x:c r="C35" s="78" t="str">
        <x:f>IF('01_INPUTS'!C34="","",(C10*12)/'01_INPUTS'!C34)</x:f>
      </x:c>
      <x:c r="D35" s="78" t="str">
        <x:v>in</x:v>
      </x:c>
      <x:c r="E35" s="83" t="str"/>
      <x:c r="F35" s="78" t="str">
        <x:v>L / selected ratio</x:v>
      </x:c>
      <x:c r="G35" s="78"/>
      <x:c r="H35" s="78"/>
      <x:c r="I35" s="78"/>
      <x:c r="J35" s="78"/>
      <x:c r="K35" s="78"/>
    </x:row>
    <x:row r="36">
      <x:c r="B36" s="78"/>
      <x:c r="C36" s="78"/>
      <x:c r="D36" s="78"/>
      <x:c r="E36" s="78"/>
      <x:c r="F36" s="78"/>
      <x:c r="G36" s="78"/>
      <x:c r="H36" s="78"/>
      <x:c r="I36" s="78"/>
      <x:c r="J36" s="78"/>
      <x:c r="K36" s="78"/>
    </x:row>
    <x:row r="37">
      <x:c r="B37" s="78"/>
      <x:c r="C37" s="78"/>
      <x:c r="D37" s="78"/>
      <x:c r="E37" s="78"/>
      <x:c r="F37" s="78"/>
      <x:c r="G37" s="78"/>
      <x:c r="H37" s="78"/>
      <x:c r="I37" s="78"/>
      <x:c r="J37" s="78"/>
      <x:c r="K37" s="78"/>
    </x:row>
    <x:row r="38">
      <x:c r="B38" s="78"/>
      <x:c r="C38" s="78"/>
      <x:c r="D38" s="78"/>
      <x:c r="E38" s="78"/>
      <x:c r="F38" s="78"/>
      <x:c r="G38" s="78"/>
      <x:c r="H38" s="78"/>
      <x:c r="I38" s="78"/>
      <x:c r="J38" s="78"/>
      <x:c r="K38" s="78"/>
    </x:row>
    <x:row r="39">
      <x:c r="B39" s="78"/>
      <x:c r="C39" s="78"/>
      <x:c r="D39" s="78"/>
      <x:c r="E39" s="78"/>
      <x:c r="F39" s="78"/>
      <x:c r="G39" s="78"/>
      <x:c r="H39" s="78"/>
      <x:c r="I39" s="78"/>
      <x:c r="J39" s="78"/>
      <x:c r="K39" s="78"/>
    </x:row>
    <x:row r="40">
      <x:c r="B40" s="78"/>
      <x:c r="C40" s="78"/>
      <x:c r="D40" s="78"/>
      <x:c r="E40" s="78"/>
      <x:c r="F40" s="78"/>
      <x:c r="G40" s="78"/>
      <x:c r="H40" s="78"/>
      <x:c r="I40" s="78"/>
      <x:c r="J40" s="78"/>
      <x:c r="K40" s="78"/>
    </x:row>
    <x:row r="41">
      <x:c r="B41" s="78"/>
      <x:c r="C41" s="78"/>
      <x:c r="D41" s="78"/>
      <x:c r="E41" s="78"/>
      <x:c r="F41" s="78"/>
      <x:c r="G41" s="78"/>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I3"/>
    <x:mergeCell ref="B4:I5"/>
    <x:mergeCell ref="B7:E7"/>
    <x:mergeCell ref="B18:I18"/>
    <x:mergeCell ref="B31:F31"/>
  </x:mergeCells>
  <x:conditionalFormatting sqref="I20:I28">
    <x:cfRule type="expression" dxfId="6" priority="1">
      <x:formula>I20="PASS"</x:formula>
    </x:cfRule>
    <x:cfRule type="expression" dxfId="7" priority="2">
      <x:formula>OR(I20="REVIEW",I20="INCOMPLETE",I20="PENDING",I20="MISSING")</x:formula>
    </x:cfRule>
    <x:cfRule type="expression" dxfId="8" priority="3">
      <x:formula>OR(I20="FAIL",I20="ERROR")</x:formula>
    </x:cfRule>
  </x:conditionalFormatting>
  <x:conditionalFormatting sqref="E33:E35">
    <x:cfRule type="expression" dxfId="9" priority="4">
      <x:formula>E33="PASS"</x:formula>
    </x:cfRule>
    <x:cfRule type="expression" dxfId="10" priority="5">
      <x:formula>OR(E33="REVIEW",E33="INCOMPLETE",E33="PENDING",E33="MISSING")</x:formula>
    </x:cfRule>
    <x:cfRule type="expression" dxfId="11" priority="6">
      <x:formula>OR(E33="FAIL",E33="ERROR")</x:formula>
    </x:cfRule>
  </x:conditionalFormatting>
  <x:dataValidations count="1">
    <x:dataValidation type="list" sqref="C9">
      <x:formula1>"Roof,Floor"</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CALCULATION INDEX &amp; COMPLETION TRACKER</x:v>
      </x:c>
      <x:c r="C2" s="79"/>
      <x:c r="D2" s="79"/>
      <x:c r="E2" s="79"/>
      <x:c r="F2" s="79"/>
      <x:c r="G2" s="79"/>
      <x:c r="H2" s="79"/>
      <x:c r="I2" s="78"/>
      <x:c r="J2" s="78"/>
      <x:c r="K2" s="78"/>
    </x:row>
    <x:row r="3">
      <x:c r="B3" s="79"/>
      <x:c r="C3" s="79"/>
      <x:c r="D3" s="79"/>
      <x:c r="E3" s="79"/>
      <x:c r="F3" s="79"/>
      <x:c r="G3" s="79"/>
      <x:c r="H3" s="79"/>
      <x:c r="I3" s="78"/>
      <x:c r="J3" s="78"/>
      <x:c r="K3" s="78"/>
    </x:row>
    <x:row r="4">
      <x:c r="B4" s="78"/>
      <x:c r="C4" s="78"/>
      <x:c r="D4" s="78"/>
      <x:c r="E4" s="78"/>
      <x:c r="F4" s="78"/>
      <x:c r="G4" s="78"/>
      <x:c r="H4" s="78"/>
      <x:c r="I4" s="78"/>
      <x:c r="J4" s="78"/>
      <x:c r="K4" s="78"/>
    </x:row>
    <x:row r="5">
      <x:c r="B5" s="28" t="str">
        <x:v>No.</x:v>
      </x:c>
      <x:c r="C5" s="28" t="str">
        <x:v>Module</x:v>
      </x:c>
      <x:c r="D5" s="28" t="str">
        <x:v>Sheet</x:v>
      </x:c>
      <x:c r="E5" s="28" t="str">
        <x:v>Purpose</x:v>
      </x:c>
      <x:c r="F5" s="28" t="str">
        <x:v>Status</x:v>
      </x:c>
      <x:c r="G5" s="28" t="str">
        <x:v>Cross-check</x:v>
      </x:c>
      <x:c r="H5" s="28" t="str">
        <x:v>External validation</x:v>
      </x:c>
      <x:c r="I5" s="78"/>
      <x:c r="J5" s="78"/>
      <x:c r="K5" s="78"/>
    </x:row>
    <x:row r="6">
      <x:c r="B6" s="152" t="str">
        <x:v>01</x:v>
      </x:c>
      <x:c r="C6" s="152" t="str">
        <x:v>Smart Project Setup</x:v>
      </x:c>
      <x:c r="D6" s="152" t="str">
        <x:v>00_COVER</x:v>
      </x:c>
      <x:c r="E6" s="152" t="str">
        <x:v>Minimal human decisions + confirmation workflow</x:v>
      </x:c>
      <x:c r="F6" s="414" t="str">
        <x:v>ACTIVE</x:v>
      </x:c>
      <x:c r="G6" s="152" t="str">
        <x:v>Approval gate</x:v>
      </x:c>
      <x:c r="H6" s="152" t="str">
        <x:v>User-facing start page</x:v>
      </x:c>
      <x:c r="I6" s="78"/>
      <x:c r="J6" s="78"/>
      <x:c r="K6" s="78"/>
    </x:row>
    <x:row r="7">
      <x:c r="B7" s="78" t="str">
        <x:v>02</x:v>
      </x:c>
      <x:c r="C7" s="78" t="str">
        <x:v>Design Criteria</x:v>
      </x:c>
      <x:c r="D7" s="78" t="str">
        <x:v>02_CRITERIA</x:v>
      </x:c>
      <x:c r="E7" s="78" t="str">
        <x:v>Codes, hazard basis, API request</x:v>
      </x:c>
      <x:c r="F7" s="83" t="str">
        <x:f>IF(AND('01_INPUTS'!C18&lt;&gt;"",'01_INPUTS'!C19&lt;&gt;"",'01_INPUTS'!C20&lt;&gt;"",'01_INPUTS'!C22&lt;&gt;""),"READY","INCOMPLETE")</x:f>
        <x:v>INCOMPLETE</x:v>
      </x:c>
      <x:c r="G7" s="78" t="str">
        <x:v>N/A</x:v>
      </x:c>
      <x:c r="H7" s="78" t="str">
        <x:v>Pending</x:v>
      </x:c>
      <x:c r="I7" s="78"/>
      <x:c r="J7" s="78"/>
      <x:c r="K7" s="78"/>
    </x:row>
    <x:row r="8">
      <x:c r="B8" s="78" t="str">
        <x:v>03</x:v>
      </x:c>
      <x:c r="C8" s="78" t="str">
        <x:v>Gravity</x:v>
      </x:c>
      <x:c r="D8" s="78" t="str">
        <x:v>03_GRAVITY</x:v>
      </x:c>
      <x:c r="E8" s="78" t="str">
        <x:v>Area load → beam actions / deflection</x:v>
      </x:c>
      <x:c r="F8" s="83" t="str">
        <x:v>ACTIVE — load effects</x:v>
      </x:c>
      <x:c r="G8" s="78" t="str">
        <x:v>Built-in</x:v>
      </x:c>
      <x:c r="H8" s="78" t="str">
        <x:v>Built-in math cross-check</x:v>
      </x:c>
      <x:c r="I8" s="78"/>
      <x:c r="J8" s="78"/>
      <x:c r="K8" s="78"/>
    </x:row>
    <x:row r="9">
      <x:c r="B9" s="78" t="str">
        <x:v>04</x:v>
      </x:c>
      <x:c r="C9" s="78" t="str">
        <x:v>Load Combinations</x:v>
      </x:c>
      <x:c r="D9" s="78" t="str">
        <x:v>14_LOAD_COMBOS</x:v>
      </x:c>
      <x:c r="E9" s="78" t="str">
        <x:v>ASCE 7-22 coefficient engine / explicit branches</x:v>
      </x:c>
      <x:c r="F9" s="83" t="str">
        <x:v>ACTIVE</x:v>
      </x:c>
      <x:c r="G9" s="78" t="str">
        <x:v>Direct formula + benchmark</x:v>
      </x:c>
      <x:c r="H9" s="78" t="str">
        <x:v>Built-in benchmark</x:v>
      </x:c>
      <x:c r="I9" s="78"/>
      <x:c r="J9" s="78"/>
      <x:c r="K9" s="78"/>
    </x:row>
    <x:row r="10">
      <x:c r="B10" s="78" t="str">
        <x:v>05</x:v>
      </x:c>
      <x:c r="C10" s="78" t="str">
        <x:v>Wind</x:v>
      </x:c>
      <x:c r="D10" s="78" t="str">
        <x:v>16_WIND</x:v>
      </x:c>
      <x:c r="E10" s="78" t="str">
        <x:v>ASCE 7-22 wind design</x:v>
      </x:c>
      <x:c r="F10" s="83" t="str">
        <x:v>ACTIVE — pressure engine</x:v>
      </x:c>
      <x:c r="G10" s="78" t="str">
        <x:v>Independent algebra + locked benchmark</x:v>
      </x:c>
      <x:c r="H10" s="78" t="str">
        <x:v>Built-in benchmark; coefficient selection pending licensed-source integration</x:v>
      </x:c>
      <x:c r="I10" s="78"/>
      <x:c r="J10" s="78"/>
      <x:c r="K10" s="78"/>
    </x:row>
    <x:row r="11">
      <x:c r="B11" s="78" t="str">
        <x:v>06</x:v>
      </x:c>
      <x:c r="C11" s="78" t="str">
        <x:v>Seismic</x:v>
      </x:c>
      <x:c r="D11" s="78" t="str">
        <x:v>18_SEISMIC</x:v>
      </x:c>
      <x:c r="E11" s="78" t="str">
        <x:v>ASCE 7-22 ELF Method 2 + vertical distribution</x:v>
      </x:c>
      <x:c r="F11" s="83" t="str">
        <x:v>ACTIVE — base shear engine</x:v>
      </x:c>
      <x:c r="G11" s="78" t="str">
        <x:v>Independent algebra + locked benchmark</x:v>
      </x:c>
      <x:c r="H11" s="78" t="str">
        <x:v>Built-in benchmark</x:v>
      </x:c>
      <x:c r="I11" s="78"/>
      <x:c r="J11" s="78"/>
      <x:c r="K11" s="78"/>
    </x:row>
    <x:row r="12">
      <x:c r="B12" s="78" t="str">
        <x:v>07</x:v>
      </x:c>
      <x:c r="C12" s="78" t="str">
        <x:v>Wood Beam / Header</x:v>
      </x:c>
      <x:c r="D12" s="78" t="str">
        <x:v>20_WOOD_BEAM</x:v>
      </x:c>
      <x:c r="E12" s="78" t="str">
        <x:v>NDS-2024 ASD beam/header capacity + serviceability</x:v>
      </x:c>
      <x:c r="F12" s="83" t="str">
        <x:v>ACTIVE — uniform-load beam engine</x:v>
      </x:c>
      <x:c r="G12" s="78" t="str">
        <x:v>Independent equations + locked benchmark</x:v>
      </x:c>
      <x:c r="H12" s="78" t="str">
        <x:v>Built-in benchmark; licensed NDS factor/source review required</x:v>
      </x:c>
      <x:c r="I12" s="78"/>
      <x:c r="J12" s="78"/>
      <x:c r="K12" s="78"/>
    </x:row>
    <x:row r="13">
      <x:c r="B13" s="78" t="str">
        <x:v>08</x:v>
      </x:c>
      <x:c r="C13" s="78" t="str">
        <x:v>Wood Column / Post</x:v>
      </x:c>
      <x:c r="D13" s="78" t="str">
        <x:v>22_WOOD_COLUMN</x:v>
      </x:c>
      <x:c r="E13" s="78" t="str">
        <x:v>NDS-2024 ASD solid-column axial compression + stability</x:v>
      </x:c>
      <x:c r="F13" s="83" t="str">
        <x:v>ACTIVE — axial-only column engine</x:v>
      </x:c>
      <x:c r="G13" s="78" t="str">
        <x:v>Euler alternate form + locked benchmark</x:v>
      </x:c>
      <x:c r="H13" s="78" t="str">
        <x:v>Built-in benchmark; Ke / combined-stress review required</x:v>
      </x:c>
      <x:c r="I13" s="78"/>
      <x:c r="J13" s="78"/>
      <x:c r="K13" s="78"/>
    </x:row>
    <x:row r="14">
      <x:c r="B14" s="152" t="str">
        <x:v>09</x:v>
      </x:c>
      <x:c r="C14" s="152" t="str">
        <x:v>Shear Wall / Diaphragm</x:v>
      </x:c>
      <x:c r="D14" s="152" t="str">
        <x:v>24_SHEAR_WALL / 25_DIAPHRAGM</x:v>
      </x:c>
      <x:c r="E14" s="152" t="str">
        <x:v>SDPWS-2021 shear-wall + diaphragm strength/deflection</x:v>
      </x:c>
      <x:c r="F14" s="414" t="str">
        <x:v>ACTIVE — source-controlled capacities</x:v>
      </x:c>
      <x:c r="G14" s="152" t="str">
        <x:v>Independent equations + locked benchmarks</x:v>
      </x:c>
      <x:c r="H14" s="152" t="str">
        <x:v>Built-in benchmarks; licensed table/ESR selection + engineer review required</x:v>
      </x:c>
      <x:c r="I14" s="78"/>
      <x:c r="J14" s="78"/>
      <x:c r="K14" s="78"/>
    </x:row>
    <x:row r="15">
      <x:c r="B15" s="152" t="str">
        <x:v>10</x:v>
      </x:c>
      <x:c r="C15" s="152" t="str">
        <x:v>Connections</x:v>
      </x:c>
      <x:c r="D15" s="152" t="str">
        <x:v>28_CONNECTIONS</x:v>
      </x:c>
      <x:c r="E15" s="152" t="str">
        <x:v>NDS-2024 source-controlled fastener capacity + group action</x:v>
      </x:c>
      <x:c r="F15" s="414" t="str">
        <x:v>ACTIVE — source-controlled capacities</x:v>
      </x:c>
      <x:c r="G15" s="152" t="str">
        <x:v>NDS group-action equation + locked benchmarks</x:v>
      </x:c>
      <x:c r="H15" s="152" t="str">
        <x:v>AWC Connection Calculator / NDS source required</x:v>
      </x:c>
      <x:c r="I15" s="78"/>
      <x:c r="J15" s="78"/>
      <x:c r="K15" s="78"/>
    </x:row>
    <x:row r="16">
      <x:c r="B16" s="152" t="str">
        <x:v>11</x:v>
      </x:c>
      <x:c r="C16" s="152" t="str">
        <x:v>Holdown / Sill Anchors</x:v>
      </x:c>
      <x:c r="D16" s="152" t="str">
        <x:v>29_HOLDOWN / 30_SILL_ANCHOR</x:v>
      </x:c>
      <x:c r="E16" s="152" t="str">
        <x:v>Holdown deformation + anchor-line capacity/distribution</x:v>
      </x:c>
      <x:c r="F16" s="414" t="str">
        <x:v>ACTIVE — product/source controlled</x:v>
      </x:c>
      <x:c r="G16" s="152" t="str">
        <x:v>Elastic rod/spacing mechanics + locked benchmarks</x:v>
      </x:c>
      <x:c r="H16" s="152" t="str">
        <x:v>Product ESR/manufacturer + concrete-anchor design required</x:v>
      </x:c>
      <x:c r="I16" s="78"/>
      <x:c r="J16" s="78"/>
      <x:c r="K16" s="78"/>
    </x:row>
    <x:row r="17">
      <x:c r="B17" s="152" t="str">
        <x:v>12</x:v>
      </x:c>
      <x:c r="C17" s="152" t="str">
        <x:v>QA Validation</x:v>
      </x:c>
      <x:c r="D17" s="152" t="str">
        <x:v>05_QA_VALIDATION</x:v>
      </x:c>
      <x:c r="E17" s="152" t="str">
        <x:v>Benchmark tests + issue validation</x:v>
      </x:c>
      <x:c r="F17" s="152" t="str">
        <x:v>PASS</x:v>
      </x:c>
      <x:c r="G17" s="152" t="str">
        <x:v>Independent constants</x:v>
      </x:c>
      <x:c r="H17" s="152" t="str">
        <x:v>Built-in locked benchmark suites</x:v>
      </x:c>
      <x:c r="I17" s="78"/>
      <x:c r="J17" s="78"/>
      <x:c r="K17" s="78"/>
    </x:row>
    <x:row r="18">
      <x:c r="B18" s="152" t="str">
        <x:v>LONGHAND-G</x:v>
      </x:c>
      <x:c r="C18" s="152" t="str">
        <x:v>Gravity Longhand</x:v>
      </x:c>
      <x:c r="D18" s="152" t="str">
        <x:v>10_LONGHAND_GRAVITY</x:v>
      </x:c>
      <x:c r="E18" s="152" t="str">
        <x:v>Active</x:v>
      </x:c>
      <x:c r="F18" s="152" t="str">
        <x:v>Gravity module</x:v>
      </x:c>
      <x:c r="G18" s="152" t="str">
        <x:v>Printable show-your-work calculation</x:v>
      </x:c>
      <x:c r="H18" s="152" t="str">
        <x:v>YES</x:v>
      </x:c>
      <x:c r="I18" s="78"/>
      <x:c r="J18" s="78"/>
      <x:c r="K18" s="78"/>
    </x:row>
    <x:row r="19">
      <x:c r="B19" s="152" t="str">
        <x:v>CAD-OUT</x:v>
      </x:c>
      <x:c r="C19" s="152" t="str">
        <x:v>CAD Output Interface</x:v>
      </x:c>
      <x:c r="D19" s="152" t="str">
        <x:v>11_CAD_OUTPUT</x:v>
      </x:c>
      <x:c r="E19" s="152" t="str">
        <x:v>Active</x:v>
      </x:c>
      <x:c r="F19" s="152" t="str">
        <x:v>AutoCAD integration</x:v>
      </x:c>
      <x:c r="G19" s="152" t="str">
        <x:v>Stable schedules/notes output</x:v>
      </x:c>
      <x:c r="H19" s="152" t="str">
        <x:v>YES</x:v>
      </x:c>
      <x:c r="I19" s="78"/>
      <x:c r="J19" s="78"/>
      <x:c r="K19" s="78"/>
    </x:row>
    <x:row r="20">
      <x:c r="B20" s="152" t="str">
        <x:v>CAD-MAP</x:v>
      </x:c>
      <x:c r="C20" s="152" t="str">
        <x:v>AutoCAD Mapping</x:v>
      </x:c>
      <x:c r="D20" s="152" t="str">
        <x:v>12_CAD_MAP</x:v>
      </x:c>
      <x:c r="E20" s="152" t="str">
        <x:v>Active</x:v>
      </x:c>
      <x:c r="F20" s="152" t="str">
        <x:v>AutoCAD API</x:v>
      </x:c>
      <x:c r="G20" s="152" t="str">
        <x:v>Field/range integration contract</x:v>
      </x:c>
      <x:c r="H20" s="152" t="str">
        <x:v>YES</x:v>
      </x:c>
      <x:c r="I20" s="78"/>
      <x:c r="J20" s="78"/>
      <x:c r="K20" s="78"/>
    </x:row>
    <x:row r="21">
      <x:c r="B21" s="152" t="str">
        <x:v>NOTES</x:v>
      </x:c>
      <x:c r="C21" s="152" t="str">
        <x:v>General Note Engine</x:v>
      </x:c>
      <x:c r="D21" s="152" t="str">
        <x:v>13_NOTE_ENGINE</x:v>
      </x:c>
      <x:c r="E21" s="152" t="str">
        <x:v>Framework</x:v>
      </x:c>
      <x:c r="F21" s="152" t="str">
        <x:v>G1/S1 notes</x:v>
      </x:c>
      <x:c r="G21" s="152" t="str">
        <x:v>Conditional note-generation rules</x:v>
      </x:c>
      <x:c r="H21" s="152" t="str">
        <x:v>YES</x:v>
      </x:c>
      <x:c r="I21" s="78"/>
      <x:c r="J21" s="78"/>
      <x:c r="K21" s="78"/>
    </x:row>
    <x:row r="22">
      <x:c r="B22" s="78" t="str">
        <x:v>LONGHAND-LC</x:v>
      </x:c>
      <x:c r="C22" s="78" t="str">
        <x:v>Load Combination Longhand</x:v>
      </x:c>
      <x:c r="D22" s="78" t="str">
        <x:v>15_LONGHAND_COMBOS</x:v>
      </x:c>
      <x:c r="E22" s="78" t="str">
        <x:v>Active</x:v>
      </x:c>
      <x:c r="F22" s="78" t="str">
        <x:v>Load combinations</x:v>
      </x:c>
      <x:c r="G22" s="78" t="str">
        <x:v>Selectable show-your-work trace</x:v>
      </x:c>
      <x:c r="H22" s="78" t="str">
        <x:v>YES</x:v>
      </x:c>
      <x:c r="I22" s="78"/>
      <x:c r="J22" s="78"/>
      <x:c r="K22" s="78"/>
    </x:row>
    <x:row r="23">
      <x:c r="B23" s="78" t="str">
        <x:v>LONGHAND-W</x:v>
      </x:c>
      <x:c r="C23" s="78" t="str">
        <x:v>Wind Longhand</x:v>
      </x:c>
      <x:c r="D23" s="78" t="str">
        <x:v>17_LONGHAND_WIND</x:v>
      </x:c>
      <x:c r="E23" s="78" t="str">
        <x:v>Active</x:v>
      </x:c>
      <x:c r="F23" s="78" t="str">
        <x:v>Wind module</x:v>
      </x:c>
      <x:c r="G23" s="78" t="str">
        <x:v>Printable qh + pressure trace</x:v>
      </x:c>
      <x:c r="H23" s="78" t="str">
        <x:v>YES</x:v>
      </x:c>
      <x:c r="I23" s="78"/>
      <x:c r="J23" s="78"/>
      <x:c r="K23" s="78"/>
    </x:row>
    <x:row r="24">
      <x:c r="B24" s="78" t="str">
        <x:v>LONGHAND-S</x:v>
      </x:c>
      <x:c r="C24" s="78" t="str">
        <x:v>Seismic Longhand</x:v>
      </x:c>
      <x:c r="D24" s="78" t="str">
        <x:v>19_LONGHAND_SEISMIC</x:v>
      </x:c>
      <x:c r="E24" s="78" t="str">
        <x:v>Active</x:v>
      </x:c>
      <x:c r="F24" s="78" t="str">
        <x:v>Seismic module</x:v>
      </x:c>
      <x:c r="G24" s="78" t="str">
        <x:v>Printable ELF + vertical distribution trace</x:v>
      </x:c>
      <x:c r="H24" s="78" t="str">
        <x:v>YES</x:v>
      </x:c>
      <x:c r="I24" s="78"/>
      <x:c r="J24" s="78"/>
      <x:c r="K24" s="78"/>
    </x:row>
    <x:row r="25">
      <x:c r="B25" s="78" t="str">
        <x:v>LONGHAND-NDS</x:v>
      </x:c>
      <x:c r="C25" s="78" t="str">
        <x:v>Wood Beam Longhand</x:v>
      </x:c>
      <x:c r="D25" s="78" t="str">
        <x:v>21_LONGHAND_WOOD</x:v>
      </x:c>
      <x:c r="E25" s="78" t="str">
        <x:v>Active</x:v>
      </x:c>
      <x:c r="F25" s="78" t="str">
        <x:v>Wood member module</x:v>
      </x:c>
      <x:c r="G25" s="78" t="str">
        <x:v>Printable adjustment + strength/serviceability trace</x:v>
      </x:c>
      <x:c r="H25" s="78" t="str">
        <x:v>YES</x:v>
      </x:c>
      <x:c r="I25" s="78"/>
      <x:c r="J25" s="78"/>
      <x:c r="K25" s="78"/>
    </x:row>
    <x:row r="26">
      <x:c r="B26" s="78" t="str">
        <x:v>LONGHAND-COL</x:v>
      </x:c>
      <x:c r="C26" s="78" t="str">
        <x:v>Wood Column Longhand</x:v>
      </x:c>
      <x:c r="D26" s="78" t="str">
        <x:v>23_LONGHAND_COLUMN</x:v>
      </x:c>
      <x:c r="E26" s="78" t="str">
        <x:v>Active</x:v>
      </x:c>
      <x:c r="F26" s="78" t="str">
        <x:v>Wood column module</x:v>
      </x:c>
      <x:c r="G26" s="78" t="str">
        <x:v>Printable stability + capacity trace</x:v>
      </x:c>
      <x:c r="H26" s="78" t="str">
        <x:v>YES</x:v>
      </x:c>
      <x:c r="I26" s="78"/>
      <x:c r="J26" s="78"/>
      <x:c r="K26" s="78"/>
    </x:row>
    <x:row r="27">
      <x:c r="B27" s="152" t="str">
        <x:v>LONGHAND-SW</x:v>
      </x:c>
      <x:c r="C27" s="152" t="str">
        <x:v>Shear Wall Longhand</x:v>
      </x:c>
      <x:c r="D27" s="152" t="str">
        <x:v>26_LONGHAND_SHEAR</x:v>
      </x:c>
      <x:c r="E27" s="152" t="str">
        <x:v>Active</x:v>
      </x:c>
      <x:c r="F27" s="152" t="str">
        <x:v>Lateral module</x:v>
      </x:c>
      <x:c r="G27" s="152" t="str">
        <x:v>Printable capacity + deflection trace</x:v>
      </x:c>
      <x:c r="H27" s="152" t="str">
        <x:v>YES</x:v>
      </x:c>
      <x:c r="I27" s="78"/>
      <x:c r="J27" s="78"/>
      <x:c r="K27" s="78"/>
    </x:row>
    <x:row r="28">
      <x:c r="B28" s="152" t="str">
        <x:v>LONGHAND-DIA</x:v>
      </x:c>
      <x:c r="C28" s="152" t="str">
        <x:v>Diaphragm Longhand</x:v>
      </x:c>
      <x:c r="D28" s="152" t="str">
        <x:v>27_LONGHAND_DIAPH</x:v>
      </x:c>
      <x:c r="E28" s="152" t="str">
        <x:v>Active</x:v>
      </x:c>
      <x:c r="F28" s="152" t="str">
        <x:v>Lateral module</x:v>
      </x:c>
      <x:c r="G28" s="152" t="str">
        <x:v>Printable strength + deflection trace</x:v>
      </x:c>
      <x:c r="H28" s="152" t="str">
        <x:v>YES</x:v>
      </x:c>
      <x:c r="I28" s="78"/>
      <x:c r="J28" s="78"/>
      <x:c r="K28" s="78"/>
    </x:row>
    <x:row r="29">
      <x:c r="B29" s="152" t="str">
        <x:v>LATERAL-CAD</x:v>
      </x:c>
      <x:c r="C29" s="152" t="str">
        <x:v>Lateral CAD Outputs</x:v>
      </x:c>
      <x:c r="D29" s="152" t="str">
        <x:v>11_CAD_OUTPUT / 12_CAD_MAP</x:v>
      </x:c>
      <x:c r="E29" s="152" t="str">
        <x:v>Framework</x:v>
      </x:c>
      <x:c r="F29" s="152" t="str">
        <x:v>AutoCAD integration</x:v>
      </x:c>
      <x:c r="G29" s="152" t="str">
        <x:v>Wall/diaphragm schedules + criteria</x:v>
      </x:c>
      <x:c r="H29" s="152" t="str">
        <x:v>YES</x:v>
      </x:c>
      <x:c r="I29" s="78"/>
      <x:c r="J29" s="78"/>
      <x:c r="K29" s="78"/>
    </x:row>
    <x:row r="30">
      <x:c r="B30" s="152" t="str">
        <x:v>12</x:v>
      </x:c>
      <x:c r="C30" s="152" t="str">
        <x:v>Collector / Chord / Splice</x:v>
      </x:c>
      <x:c r="D30" s="152" t="str">
        <x:v>31_COLLECTOR_CHORD</x:v>
      </x:c>
      <x:c r="E30" s="152" t="str">
        <x:v>Lateral load-path member + connection reconciliation</x:v>
      </x:c>
      <x:c r="F30" s="152" t="str">
        <x:v>ACTIVE — source-controlled capacities</x:v>
      </x:c>
      <x:c r="G30" s="152" t="str">
        <x:v>Independent demand/capacity arithmetic</x:v>
      </x:c>
      <x:c r="H30" s="152" t="str">
        <x:v>NDS member + connection source required</x:v>
      </x:c>
      <x:c r="I30" s="78"/>
      <x:c r="J30" s="78"/>
      <x:c r="K30" s="78"/>
    </x:row>
    <x:row r="31">
      <x:c r="B31" s="152" t="str">
        <x:v>13</x:v>
      </x:c>
      <x:c r="C31" s="152" t="str">
        <x:v>Foundation</x:v>
      </x:c>
      <x:c r="D31" s="152" t="str">
        <x:v>36_FOUNDATION</x:v>
      </x:c>
      <x:c r="E31" s="152" t="str">
        <x:v>Soil bearing / eccentricity / sliding / overturning + concrete design interface</x:v>
      </x:c>
      <x:c r="F31" s="152" t="str">
        <x:v>ACTIVE — geotechnical source controlled</x:v>
      </x:c>
      <x:c r="G31" s="152" t="str">
        <x:v>Independent mechanics + locked benchmark</x:v>
      </x:c>
      <x:c r="H31" s="152" t="str">
        <x:v>Geotechnical basis + concrete design review required</x:v>
      </x:c>
      <x:c r="I31" s="78"/>
      <x:c r="J31" s="78"/>
      <x:c r="K31" s="78"/>
    </x:row>
    <x:row r="32">
      <x:c r="B32" s="152" t="str">
        <x:v>LONGHAND-CONN</x:v>
      </x:c>
      <x:c r="C32" s="152" t="str">
        <x:v>Connection Longhand</x:v>
      </x:c>
      <x:c r="D32" s="152" t="str">
        <x:v>32_LONGHAND_CONN</x:v>
      </x:c>
      <x:c r="E32" s="152" t="str">
        <x:v>Active</x:v>
      </x:c>
      <x:c r="F32" s="152" t="str">
        <x:v>Connection module</x:v>
      </x:c>
      <x:c r="G32" s="152" t="str">
        <x:v>Printable Cg + capacity trace</x:v>
      </x:c>
      <x:c r="H32" s="152" t="str">
        <x:v>YES</x:v>
      </x:c>
      <x:c r="I32" s="78"/>
      <x:c r="J32" s="78"/>
      <x:c r="K32" s="78"/>
    </x:row>
    <x:row r="33">
      <x:c r="B33" s="152" t="str">
        <x:v>LONGHAND-HD</x:v>
      </x:c>
      <x:c r="C33" s="152" t="str">
        <x:v>Holdown Longhand</x:v>
      </x:c>
      <x:c r="D33" s="152" t="str">
        <x:v>33_LONGHAND_HD</x:v>
      </x:c>
      <x:c r="E33" s="152" t="str">
        <x:v>Active</x:v>
      </x:c>
      <x:c r="F33" s="152" t="str">
        <x:v>Holdown module</x:v>
      </x:c>
      <x:c r="G33" s="152" t="str">
        <x:v>Printable strength + deformation trace</x:v>
      </x:c>
      <x:c r="H33" s="152" t="str">
        <x:v>YES</x:v>
      </x:c>
      <x:c r="I33" s="78"/>
      <x:c r="J33" s="78"/>
      <x:c r="K33" s="78"/>
    </x:row>
    <x:row r="34">
      <x:c r="B34" s="152" t="str">
        <x:v>LONGHAND-ANCH</x:v>
      </x:c>
      <x:c r="C34" s="152" t="str">
        <x:v>Anchor Longhand</x:v>
      </x:c>
      <x:c r="D34" s="152" t="str">
        <x:v>34_LONGHAND_ANCHOR</x:v>
      </x:c>
      <x:c r="E34" s="152" t="str">
        <x:v>Active</x:v>
      </x:c>
      <x:c r="F34" s="152" t="str">
        <x:v>Anchor-line module</x:v>
      </x:c>
      <x:c r="G34" s="152" t="str">
        <x:v>Printable count + spacing trace</x:v>
      </x:c>
      <x:c r="H34" s="152" t="str">
        <x:v>YES</x:v>
      </x:c>
      <x:c r="I34" s="78"/>
      <x:c r="J34" s="78"/>
      <x:c r="K34" s="78"/>
    </x:row>
    <x:row r="35">
      <x:c r="B35" s="152" t="str">
        <x:v>LONGHAND-COLLECT</x:v>
      </x:c>
      <x:c r="C35" s="152" t="str">
        <x:v>Collector Longhand</x:v>
      </x:c>
      <x:c r="D35" s="152" t="str">
        <x:v>35_LONGHAND_COLLECTOR</x:v>
      </x:c>
      <x:c r="E35" s="152" t="str">
        <x:v>Active</x:v>
      </x:c>
      <x:c r="F35" s="152" t="str">
        <x:v>Collector/chord module</x:v>
      </x:c>
      <x:c r="G35" s="152" t="str">
        <x:v>Printable load-path trace</x:v>
      </x:c>
      <x:c r="H35" s="152" t="str">
        <x:v>YES</x:v>
      </x:c>
      <x:c r="I35" s="78"/>
      <x:c r="J35" s="78"/>
      <x:c r="K35" s="78"/>
    </x:row>
    <x:row r="36">
      <x:c r="B36" s="152" t="str">
        <x:v>LONGHAND-FDN</x:v>
      </x:c>
      <x:c r="C36" s="152" t="str">
        <x:v>Foundation Longhand</x:v>
      </x:c>
      <x:c r="D36" s="152" t="str">
        <x:v>37_LONGHAND_FOUNDATION</x:v>
      </x:c>
      <x:c r="E36" s="152" t="str">
        <x:v>Active</x:v>
      </x:c>
      <x:c r="F36" s="152" t="str">
        <x:v>Foundation module</x:v>
      </x:c>
      <x:c r="G36" s="152" t="str">
        <x:v>Printable service-stability trace</x:v>
      </x:c>
      <x:c r="H36" s="152" t="str">
        <x:v>YES</x:v>
      </x:c>
      <x:c r="I36" s="78"/>
      <x:c r="J36" s="78"/>
      <x:c r="K36" s="78"/>
    </x:row>
    <x:row r="37">
      <x:c r="B37" s="152" t="str">
        <x:v>SMART-SETUP</x:v>
      </x:c>
      <x:c r="C37" s="152" t="str">
        <x:v>Smart Project Setup</x:v>
      </x:c>
      <x:c r="D37" s="152" t="str">
        <x:v>00_COVER</x:v>
      </x:c>
      <x:c r="E37" s="152" t="str">
        <x:v>Active</x:v>
      </x:c>
      <x:c r="F37" s="152" t="str">
        <x:v>Human interface</x:v>
      </x:c>
      <x:c r="G37" s="152" t="str">
        <x:v>Minimal project decisions</x:v>
      </x:c>
      <x:c r="H37" s="152" t="str">
        <x:v>YES</x:v>
      </x:c>
      <x:c r="I37" s="78"/>
      <x:c r="J37" s="78"/>
      <x:c r="K37" s="78"/>
    </x:row>
    <x:row r="38">
      <x:c r="B38" s="152" t="str">
        <x:v>CAD-CONFIRM</x:v>
      </x:c>
      <x:c r="C38" s="152" t="str">
        <x:v>CAD Confirmation Queue</x:v>
      </x:c>
      <x:c r="D38" s="152" t="str">
        <x:v>00_CAD_CONFIRM</x:v>
      </x:c>
      <x:c r="E38" s="152" t="str">
        <x:v>Framework</x:v>
      </x:c>
      <x:c r="F38" s="152" t="str">
        <x:v>DWG/model ingestion</x:v>
      </x:c>
      <x:c r="G38" s="152" t="str">
        <x:v>Detected → confirmed values</x:v>
      </x:c>
      <x:c r="H38" s="152" t="str">
        <x:v>YES</x:v>
      </x:c>
      <x:c r="I38" s="78"/>
      <x:c r="J38" s="78"/>
      <x:c r="K38" s="78"/>
    </x:row>
    <x:row r="39">
      <x:c r="B39" s="152" t="str">
        <x:v>OBJECT-MODEL</x:v>
      </x:c>
      <x:c r="C39" s="152" t="str">
        <x:v>Semantic Object Model</x:v>
      </x:c>
      <x:c r="D39" s="152" t="str">
        <x:v>00_OBJECT_MODEL</x:v>
      </x:c>
      <x:c r="E39" s="152" t="str">
        <x:v>Framework</x:v>
      </x:c>
      <x:c r="F39" s="152" t="str">
        <x:v>Human-readable building graph</x:v>
      </x:c>
      <x:c r="G39" s="152" t="str">
        <x:v>Object identity + geometry + state</x:v>
      </x:c>
      <x:c r="H39" s="152" t="str">
        <x:v>YES</x:v>
      </x:c>
      <x:c r="I39" s="78"/>
      <x:c r="J39" s="78"/>
      <x:c r="K39" s="78"/>
    </x:row>
    <x:row r="40">
      <x:c r="B40" s="152" t="str">
        <x:v>ISSUE-GATE</x:v>
      </x:c>
      <x:c r="C40" s="152" t="str">
        <x:v>Project Issue Gate</x:v>
      </x:c>
      <x:c r="D40" s="152" t="str">
        <x:v>00_ISSUE_GATE</x:v>
      </x:c>
      <x:c r="E40" s="152" t="str">
        <x:v>Active</x:v>
      </x:c>
      <x:c r="F40" s="152" t="str">
        <x:v>Function → verification → design → approval</x:v>
      </x:c>
      <x:c r="G40" s="152" t="str">
        <x:v>Whole-project issue control</x:v>
      </x:c>
      <x:c r="H40" s="152" t="str">
        <x:v>YES</x:v>
      </x:c>
      <x:c r="I40" s="78"/>
      <x:c r="J40" s="78"/>
      <x:c r="K40" s="78"/>
    </x:row>
    <x:row r="41">
      <x:c r="B41" s="612" t="str">
        <x:v>README</x:v>
      </x:c>
      <x:c r="C41" s="612" t="str">
        <x:v>Project README</x:v>
      </x:c>
      <x:c r="D41" s="612" t="str">
        <x:v>00_README</x:v>
      </x:c>
      <x:c r="E41" s="612" t="str">
        <x:v>Durable architecture / tomorrow-start reference</x:v>
      </x:c>
      <x:c r="F41" s="612" t="str">
        <x:v>ACTIVE</x:v>
      </x:c>
      <x:c r="G41" s="612" t="str">
        <x:v>Human-readable specification</x:v>
      </x:c>
      <x:c r="H41" s="612" t="str">
        <x:v>YES</x:v>
      </x:c>
      <x:c r="I41" s="78"/>
      <x:c r="J41" s="78"/>
      <x:c r="K41" s="78"/>
    </x:row>
    <x:row r="42">
      <x:c r="B42" s="612" t="str">
        <x:v>ITEM-KEY</x:v>
      </x:c>
      <x:c r="C42" s="612" t="str">
        <x:v>Canonical Item Key</x:v>
      </x:c>
      <x:c r="D42" s="612" t="str">
        <x:v>00_ITEM_KEY</x:v>
      </x:c>
      <x:c r="E42" s="612" t="str">
        <x:v>Shared object/component/part/material vocabulary</x:v>
      </x:c>
      <x:c r="F42" s="612" t="str">
        <x:v>ACTIVE</x:v>
      </x:c>
      <x:c r="G42" s="612" t="str">
        <x:v>Taxonomy / costing-ready units</x:v>
      </x:c>
      <x:c r="H42" s="612" t="str">
        <x:v>YES</x:v>
      </x:c>
      <x:c r="I42" s="78"/>
      <x:c r="J42" s="78"/>
      <x:c r="K42" s="78"/>
    </x:row>
    <x:row r="43">
      <x:c r="B43" s="612" t="str">
        <x:v>BUILDOUT</x:v>
      </x:c>
      <x:c r="C43" s="612" t="str">
        <x:v>Buildout Examples</x:v>
      </x:c>
      <x:c r="D43" s="612" t="str">
        <x:v>00_BUILDOUT_EXAMPLE</x:v>
      </x:c>
      <x:c r="E43" s="612" t="str">
        <x:v>Working assembly decomposition + future BOM/cost schema</x:v>
      </x:c>
      <x:c r="F43" s="612" t="str">
        <x:v>ACTIVE</x:v>
      </x:c>
      <x:c r="G43" s="612" t="str">
        <x:v>Hierarchy + cost fields</x:v>
      </x:c>
      <x:c r="H43" s="612" t="str">
        <x:v>YES</x:v>
      </x:c>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H3"/>
  </x:mergeCells>
  <x:conditionalFormatting sqref="F6:F15">
    <x:cfRule type="expression" dxfId="12" priority="1">
      <x:formula>F6="PASS"</x:formula>
    </x:cfRule>
    <x:cfRule type="expression" dxfId="13" priority="2">
      <x:formula>OR(F6="REVIEW",F6="INCOMPLETE",F6="PENDING",F6="MISSING")</x:formula>
    </x:cfRule>
    <x:cfRule type="expression" dxfId="14" priority="3">
      <x:formula>OR(F6="FAIL",F6="ERROR")</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2" max="2" width="20" hidden="0" customWidth="1"/>
    <x:col min="3" max="3" width="18" hidden="0" customWidth="1"/>
    <x:col min="4" max="4" width="18" hidden="0" customWidth="1"/>
    <x:col min="5" max="5" width="10" hidden="0" customWidth="1"/>
    <x:col min="6" max="6" width="13" hidden="0" customWidth="1"/>
    <x:col min="7" max="7" width="12" hidden="0" customWidth="1"/>
    <x:col min="8" max="8" width="28" hidden="0" customWidth="1"/>
    <x:col min="9" max="9" width="12"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QA / INDEPENDENT MATH VALIDATION</x:v>
      </x:c>
      <x:c r="C2" s="79"/>
      <x:c r="D2" s="79"/>
      <x:c r="E2" s="79"/>
      <x:c r="F2" s="79"/>
      <x:c r="G2" s="79"/>
      <x:c r="H2" s="79"/>
      <x:c r="I2" s="79"/>
      <x:c r="J2" s="78"/>
      <x:c r="K2" s="78"/>
    </x:row>
    <x:row r="3">
      <x:c r="B3" s="79"/>
      <x:c r="C3" s="79"/>
      <x:c r="D3" s="79"/>
      <x:c r="E3" s="79"/>
      <x:c r="F3" s="79"/>
      <x:c r="G3" s="79"/>
      <x:c r="H3" s="79"/>
      <x:c r="I3" s="79"/>
      <x:c r="J3" s="78"/>
      <x:c r="K3" s="78"/>
    </x:row>
    <x:row r="4">
      <x:c r="B4" s="64" t="str">
        <x:v>Validation model: project formulas calculate results; a redundant derivation cross-checks them; fixed benchmark outputs below were computed independently outside the workbook and stored as expected constants; before issue, project-specific results can be externally recalculated and recorded in the issue log.</x:v>
      </x:c>
      <x:c r="C4" s="64"/>
      <x:c r="D4" s="64"/>
      <x:c r="E4" s="64"/>
      <x:c r="F4" s="64"/>
      <x:c r="G4" s="64"/>
      <x:c r="H4" s="64"/>
      <x:c r="I4" s="64"/>
      <x:c r="J4" s="78"/>
      <x:c r="K4" s="78"/>
    </x:row>
    <x:row r="5">
      <x:c r="B5" s="64"/>
      <x:c r="C5" s="64"/>
      <x:c r="D5" s="64"/>
      <x:c r="E5" s="64"/>
      <x:c r="F5" s="64"/>
      <x:c r="G5" s="64"/>
      <x:c r="H5" s="64"/>
      <x:c r="I5" s="64"/>
      <x:c r="J5" s="78"/>
      <x:c r="K5" s="78"/>
    </x:row>
    <x:row r="6">
      <x:c r="B6" s="64"/>
      <x:c r="C6" s="64"/>
      <x:c r="D6" s="64"/>
      <x:c r="E6" s="64"/>
      <x:c r="F6" s="64"/>
      <x:c r="G6" s="64"/>
      <x:c r="H6" s="64"/>
      <x:c r="I6" s="64"/>
      <x:c r="J6" s="78"/>
      <x:c r="K6" s="78"/>
    </x:row>
    <x:row r="7">
      <x:c r="B7" s="78"/>
      <x:c r="C7" s="78"/>
      <x:c r="D7" s="78"/>
      <x:c r="E7" s="78"/>
      <x:c r="F7" s="78"/>
      <x:c r="G7" s="78"/>
      <x:c r="H7" s="78"/>
      <x:c r="I7" s="78"/>
      <x:c r="J7" s="78"/>
      <x:c r="K7" s="78"/>
    </x:row>
    <x:row r="8">
      <x:c r="B8" s="81" t="str">
        <x:v>ENGINE BENCHMARK TEST — UNIFORM LOAD SIMPLE BEAM</x:v>
      </x:c>
      <x:c r="C8" s="81"/>
      <x:c r="D8" s="81"/>
      <x:c r="E8" s="81"/>
      <x:c r="F8" s="81"/>
      <x:c r="G8" s="81"/>
      <x:c r="H8" s="81"/>
      <x:c r="I8" s="81"/>
      <x:c r="J8" s="78"/>
      <x:c r="K8" s="78"/>
    </x:row>
    <x:row r="9">
      <x:c r="B9" s="28" t="str">
        <x:v>Test</x:v>
      </x:c>
      <x:c r="C9" s="28" t="str">
        <x:v>Excel Result</x:v>
      </x:c>
      <x:c r="D9" s="28" t="str">
        <x:v>Expected Constant</x:v>
      </x:c>
      <x:c r="E9" s="28" t="str">
        <x:v>Unit</x:v>
      </x:c>
      <x:c r="F9" s="28" t="str">
        <x:v>Abs Diff</x:v>
      </x:c>
      <x:c r="G9" s="28" t="str">
        <x:v>Tolerance</x:v>
      </x:c>
      <x:c r="H9" s="28" t="str">
        <x:v>Method</x:v>
      </x:c>
      <x:c r="I9" s="28" t="str">
        <x:v>Status</x:v>
      </x:c>
      <x:c r="J9" s="78"/>
      <x:c r="K9" s="78"/>
    </x:row>
    <x:row r="10">
      <x:c r="B10" s="78" t="str">
        <x:v>Span</x:v>
      </x:c>
      <x:c r="C10" s="128" t="n">
        <x:v>20</x:v>
      </x:c>
      <x:c r="D10" s="128" t="n">
        <x:v>20</x:v>
      </x:c>
      <x:c r="E10" s="128" t="str">
        <x:v>ft</x:v>
      </x:c>
      <x:c r="F10" s="128" t="n">
        <x:f>ABS(C10-D10)</x:f>
        <x:v>0</x:v>
      </x:c>
      <x:c r="G10" s="128" t="str">
        <x:v>0.0001</x:v>
      </x:c>
      <x:c r="H10" s="78" t="str">
        <x:v>Input identity</x:v>
      </x:c>
      <x:c r="I10" s="83" t="str">
        <x:f>IF(F10&lt;=G10,"PASS","FAIL")</x:f>
        <x:v>PASS</x:v>
      </x:c>
      <x:c r="J10" s="78"/>
      <x:c r="K10" s="78"/>
    </x:row>
    <x:row r="11">
      <x:c r="B11" s="78" t="str">
        <x:v>Total line load</x:v>
      </x:c>
      <x:c r="C11" s="128" t="n">
        <x:v>550</x:v>
      </x:c>
      <x:c r="D11" s="128" t="n">
        <x:v>550</x:v>
      </x:c>
      <x:c r="E11" s="128" t="str">
        <x:v>plf</x:v>
      </x:c>
      <x:c r="F11" s="128" t="n">
        <x:f>ABS(C11-D11)</x:f>
        <x:v>0</x:v>
      </x:c>
      <x:c r="G11" s="128" t="str">
        <x:v>0.0001</x:v>
      </x:c>
      <x:c r="H11" s="78" t="str">
        <x:v>(15+40) psf × 10 ft</x:v>
      </x:c>
      <x:c r="I11" s="83" t="str">
        <x:f>IF(F11&lt;=G11,"PASS","FAIL")</x:f>
        <x:v>PASS</x:v>
      </x:c>
      <x:c r="J11" s="78"/>
      <x:c r="K11" s="78"/>
    </x:row>
    <x:row r="12">
      <x:c r="B12" s="78" t="str">
        <x:v>End reaction</x:v>
      </x:c>
      <x:c r="C12" s="128" t="n">
        <x:f>(550*20)/2</x:f>
        <x:v>5500</x:v>
      </x:c>
      <x:c r="D12" s="128" t="n">
        <x:v>5500</x:v>
      </x:c>
      <x:c r="E12" s="128" t="str">
        <x:v>lb</x:v>
      </x:c>
      <x:c r="F12" s="128" t="n">
        <x:f>ABS(C12-D12)</x:f>
        <x:v>0</x:v>
      </x:c>
      <x:c r="G12" s="128" t="str">
        <x:v>0.01</x:v>
      </x:c>
      <x:c r="H12" s="78" t="str">
        <x:v>W/2</x:v>
      </x:c>
      <x:c r="I12" s="83" t="str">
        <x:f>IF(F12&lt;=G12,"PASS","FAIL")</x:f>
        <x:v>PASS</x:v>
      </x:c>
      <x:c r="J12" s="78"/>
      <x:c r="K12" s="78"/>
    </x:row>
    <x:row r="13">
      <x:c r="B13" s="78" t="str">
        <x:v>Max moment</x:v>
      </x:c>
      <x:c r="C13" s="128" t="n">
        <x:f>550*20^2/8</x:f>
        <x:v>27500</x:v>
      </x:c>
      <x:c r="D13" s="128" t="n">
        <x:v>27500</x:v>
      </x:c>
      <x:c r="E13" s="128" t="str">
        <x:v>ft-lb</x:v>
      </x:c>
      <x:c r="F13" s="128" t="n">
        <x:f>ABS(C13-D13)</x:f>
        <x:v>0</x:v>
      </x:c>
      <x:c r="G13" s="128" t="str">
        <x:v>0.01</x:v>
      </x:c>
      <x:c r="H13" s="78" t="str">
        <x:v>wL²/8</x:v>
      </x:c>
      <x:c r="I13" s="83" t="str">
        <x:f>IF(F13&lt;=G13,"PASS","FAIL")</x:f>
        <x:v>PASS</x:v>
      </x:c>
      <x:c r="J13" s="78"/>
      <x:c r="K13" s="78"/>
    </x:row>
    <x:row r="14">
      <x:c r="B14" s="78" t="str">
        <x:v>Section inertia</x:v>
      </x:c>
      <x:c r="C14" s="128" t="n">
        <x:f>1.5*11.25^3/12</x:f>
        <x:v>177.978515625</x:v>
      </x:c>
      <x:c r="D14" s="128" t="n">
        <x:v>177.978515625</x:v>
      </x:c>
      <x:c r="E14" s="128" t="str">
        <x:v>in^4</x:v>
      </x:c>
      <x:c r="F14" s="128" t="n">
        <x:f>ABS(C14-D14)</x:f>
        <x:v>0</x:v>
      </x:c>
      <x:c r="G14" s="128" t="str">
        <x:v>0.0001</x:v>
      </x:c>
      <x:c r="H14" s="78" t="str">
        <x:v>bd³/12</x:v>
      </x:c>
      <x:c r="I14" s="83" t="str">
        <x:f>IF(F14&lt;=G14,"PASS","FAIL")</x:f>
        <x:v>PASS</x:v>
      </x:c>
      <x:c r="J14" s="78"/>
      <x:c r="K14" s="78"/>
    </x:row>
    <x:row r="15">
      <x:c r="B15" s="78" t="str">
        <x:v>Max deflection</x:v>
      </x:c>
      <x:c r="C15" s="128" t="n">
        <x:f>5*(550/12)*(20*12)^4/(384*1600000*C14)</x:f>
        <x:v>6.953086419753087</x:v>
      </x:c>
      <x:c r="D15" s="128" t="n">
        <x:v>6.953086419753087</x:v>
      </x:c>
      <x:c r="E15" s="128" t="str">
        <x:v>in</x:v>
      </x:c>
      <x:c r="F15" s="128" t="n">
        <x:f>ABS(C15-D15)</x:f>
        <x:v>0</x:v>
      </x:c>
      <x:c r="G15" s="128" t="str">
        <x:v>0.0001</x:v>
      </x:c>
      <x:c r="H15" s="78" t="str">
        <x:v>5wL⁴/(384EI)</x:v>
      </x:c>
      <x:c r="I15" s="83" t="str">
        <x:f>IF(F15&lt;=G15,"PASS","FAIL")</x:f>
        <x:v>PASS</x:v>
      </x:c>
      <x:c r="J15" s="78"/>
      <x:c r="K15" s="78"/>
    </x:row>
    <x:row r="16">
      <x:c r="B16" s="78" t="str">
        <x:v>Span / deflection</x:v>
      </x:c>
      <x:c r="C16" s="128" t="n">
        <x:f>(20*12)/C15</x:f>
        <x:v>34.51704545454545</x:v>
      </x:c>
      <x:c r="D16" s="128" t="n">
        <x:v>34.51704545454545</x:v>
      </x:c>
      <x:c r="E16" s="128" t="str">
        <x:v>L/x</x:v>
      </x:c>
      <x:c r="F16" s="128" t="n">
        <x:f>ABS(C16-D16)</x:f>
        <x:v>0</x:v>
      </x:c>
      <x:c r="G16" s="128" t="str">
        <x:v>0.001</x:v>
      </x:c>
      <x:c r="H16" s="78" t="str">
        <x:v>L/Δ</x:v>
      </x:c>
      <x:c r="I16" s="83" t="str">
        <x:f>IF(F16&lt;=G16,"PASS","FAIL")</x:f>
        <x:v>PASS</x:v>
      </x:c>
      <x:c r="J16" s="78"/>
      <x:c r="K16" s="78"/>
    </x:row>
    <x:row r="17">
      <x:c r="B17" s="78" t="str">
        <x:v>Benchmark overall</x:v>
      </x:c>
      <x:c r="C17" s="78" t="str"/>
      <x:c r="D17" s="78" t="str"/>
      <x:c r="E17" s="78" t="str"/>
      <x:c r="F17" s="78" t="str"/>
      <x:c r="G17" s="78" t="str"/>
      <x:c r="H17" s="78" t="str"/>
      <x:c r="I17" s="83" t="str">
        <x:f>IF(COUNTIF(I10:I16,"FAIL")&gt;0,"FAIL",IF(COUNTIF(I10:I16,"PASS")=7,"PASS","PENDING"))</x:f>
        <x:v>PASS</x:v>
      </x:c>
      <x:c r="J17" s="78"/>
      <x:c r="K17" s="78"/>
    </x:row>
    <x:row r="18">
      <x:c r="B18" s="78"/>
      <x:c r="C18" s="78"/>
      <x:c r="D18" s="78"/>
      <x:c r="E18" s="78"/>
      <x:c r="F18" s="78"/>
      <x:c r="G18" s="78"/>
      <x:c r="H18" s="78"/>
      <x:c r="I18" s="78"/>
      <x:c r="J18" s="78"/>
      <x:c r="K18" s="78"/>
    </x:row>
    <x:row r="19">
      <x:c r="B19" s="78"/>
      <x:c r="C19" s="78"/>
      <x:c r="D19" s="78"/>
      <x:c r="E19" s="78"/>
      <x:c r="F19" s="78"/>
      <x:c r="G19" s="78"/>
      <x:c r="H19" s="78"/>
      <x:c r="I19" s="78"/>
      <x:c r="J19" s="78"/>
      <x:c r="K19" s="78"/>
    </x:row>
    <x:row r="20">
      <x:c r="B20" s="81" t="str">
        <x:v>PROJECT ISSUE VALIDATION LOG</x:v>
      </x:c>
      <x:c r="C20" s="81"/>
      <x:c r="D20" s="81"/>
      <x:c r="E20" s="81"/>
      <x:c r="F20" s="81"/>
      <x:c r="G20" s="81"/>
      <x:c r="H20" s="81"/>
      <x:c r="I20" s="81"/>
      <x:c r="J20" s="78"/>
      <x:c r="K20" s="78"/>
    </x:row>
    <x:row r="21">
      <x:c r="B21" s="28" t="str">
        <x:v>Issue</x:v>
      </x:c>
      <x:c r="C21" s="28" t="str">
        <x:v>Workbook Version</x:v>
      </x:c>
      <x:c r="D21" s="28" t="str">
        <x:v>Validated On</x:v>
      </x:c>
      <x:c r="E21" s="28" t="str">
        <x:v>Validator / Method</x:v>
      </x:c>
      <x:c r="F21" s="28" t="str">
        <x:v>Modules Checked</x:v>
      </x:c>
      <x:c r="G21" s="28" t="str">
        <x:v>Result</x:v>
      </x:c>
      <x:c r="H21" s="28" t="str">
        <x:v>Evidence / File</x:v>
      </x:c>
      <x:c r="I21" s="28" t="str">
        <x:v>Notes</x:v>
      </x:c>
      <x:c r="J21" s="78"/>
      <x:c r="K21" s="78"/>
    </x:row>
    <x:row r="22">
      <x:c r="B22" s="78" t="str">
        <x:v>Draft 1</x:v>
      </x:c>
      <x:c r="C22" s="102" t="str"/>
      <x:c r="D22" s="102" t="str"/>
      <x:c r="E22" s="102" t="str"/>
      <x:c r="F22" s="102" t="str">
        <x:v>Gravity</x:v>
      </x:c>
      <x:c r="G22" s="102" t="str"/>
      <x:c r="H22" s="102" t="str"/>
      <x:c r="I22" s="102" t="str"/>
      <x:c r="J22" s="78"/>
      <x:c r="K22" s="78"/>
    </x:row>
    <x:row r="23">
      <x:c r="B23" s="78" t="str">
        <x:v>Permit Issue</x:v>
      </x:c>
      <x:c r="C23" s="102" t="str"/>
      <x:c r="D23" s="102" t="str"/>
      <x:c r="E23" s="102" t="str"/>
      <x:c r="F23" s="102" t="str"/>
      <x:c r="G23" s="102" t="str"/>
      <x:c r="H23" s="102" t="str"/>
      <x:c r="I23" s="102" t="str"/>
      <x:c r="J23" s="78"/>
      <x:c r="K23" s="78"/>
    </x:row>
    <x:row r="24">
      <x:c r="B24" s="78" t="str">
        <x:v>Revision 1</x:v>
      </x:c>
      <x:c r="C24" s="102" t="str"/>
      <x:c r="D24" s="102" t="str"/>
      <x:c r="E24" s="102" t="str"/>
      <x:c r="F24" s="102" t="str"/>
      <x:c r="G24" s="102" t="str"/>
      <x:c r="H24" s="102" t="str"/>
      <x:c r="I24" s="102" t="str"/>
      <x:c r="J24" s="78"/>
      <x:c r="K24" s="78"/>
    </x:row>
    <x:row r="25">
      <x:c r="B25" s="78" t="str">
        <x:v>Revision 2</x:v>
      </x:c>
      <x:c r="C25" s="102" t="str"/>
      <x:c r="D25" s="102" t="str"/>
      <x:c r="E25" s="102" t="str"/>
      <x:c r="F25" s="102" t="str"/>
      <x:c r="G25" s="102" t="str"/>
      <x:c r="H25" s="102" t="str"/>
      <x:c r="I25" s="102" t="str"/>
      <x:c r="J25" s="78"/>
      <x:c r="K25" s="78"/>
    </x:row>
    <x:row r="26">
      <x:c r="B26" s="78" t="str">
        <x:v>Final</x:v>
      </x:c>
      <x:c r="C26" s="102" t="str"/>
      <x:c r="D26" s="102" t="str"/>
      <x:c r="E26" s="102" t="str"/>
      <x:c r="F26" s="102" t="str"/>
      <x:c r="G26" s="102" t="str"/>
      <x:c r="H26" s="102" t="str"/>
      <x:c r="I26" s="102" t="str"/>
      <x:c r="J26" s="78"/>
      <x:c r="K26" s="78"/>
    </x:row>
    <x:row r="27">
      <x:c r="B27" s="78" t="str"/>
      <x:c r="C27" s="102" t="str"/>
      <x:c r="D27" s="102" t="str"/>
      <x:c r="E27" s="102" t="str"/>
      <x:c r="F27" s="102" t="str"/>
      <x:c r="G27" s="102" t="str"/>
      <x:c r="H27" s="102" t="str"/>
      <x:c r="I27" s="102" t="str"/>
      <x:c r="J27" s="78"/>
      <x:c r="K27" s="78"/>
    </x:row>
    <x:row r="28">
      <x:c r="B28" s="78"/>
      <x:c r="C28" s="78"/>
      <x:c r="D28" s="78"/>
      <x:c r="E28" s="78"/>
      <x:c r="F28" s="78"/>
      <x:c r="G28" s="78"/>
      <x:c r="H28" s="78"/>
      <x:c r="I28" s="78"/>
      <x:c r="J28" s="78"/>
      <x:c r="K28" s="78"/>
    </x:row>
    <x:row r="29">
      <x:c r="B29" s="182" t="str">
        <x:v>ENGINE BENCHMARK TEST — ASCE 7-22 LOAD-COMBINATION COEFFICIENTS</x:v>
      </x:c>
      <x:c r="C29" s="182"/>
      <x:c r="D29" s="182"/>
      <x:c r="E29" s="182"/>
      <x:c r="F29" s="182"/>
      <x:c r="G29" s="182"/>
      <x:c r="H29" s="182"/>
      <x:c r="I29" s="182"/>
      <x:c r="J29" s="78"/>
      <x:c r="K29" s="78"/>
    </x:row>
    <x:row r="30">
      <x:c r="B30" s="185" t="str">
        <x:v>Combo ID</x:v>
      </x:c>
      <x:c r="C30" s="185" t="str">
        <x:v>Workbook Result</x:v>
      </x:c>
      <x:c r="D30" s="185" t="str">
        <x:v>Expected Constant</x:v>
      </x:c>
      <x:c r="E30" s="185" t="str">
        <x:v>Unit</x:v>
      </x:c>
      <x:c r="F30" s="185" t="str">
        <x:v>Abs Diff</x:v>
      </x:c>
      <x:c r="G30" s="185" t="str">
        <x:v>Tolerance</x:v>
      </x:c>
      <x:c r="H30" s="185" t="str">
        <x:v>Method</x:v>
      </x:c>
      <x:c r="I30" s="185" t="str">
        <x:v>Status</x:v>
      </x:c>
      <x:c r="J30" s="78"/>
      <x:c r="K30" s="78"/>
    </x:row>
    <x:row r="31">
      <x:c r="B31" s="152" t="str">
        <x:v>SD-1</x:v>
      </x:c>
      <x:c r="C31" s="186" t="n">
        <x:f>SUMPRODUCT('14_LOAD_COMBOS'!E17:L17,'14_LOAD_COMBOS'!C13:J13)</x:f>
        <x:v>14</x:v>
      </x:c>
      <x:c r="D31" s="186" t="n">
        <x:v>14</x:v>
      </x:c>
      <x:c r="E31" s="186" t="str">
        <x:v>arb.</x:v>
      </x:c>
      <x:c r="F31" s="186" t="n">
        <x:f>ABS(C31-D31)</x:f>
        <x:v>0</x:v>
      </x:c>
      <x:c r="G31" s="186" t="n">
        <x:v>0.0001</x:v>
      </x:c>
      <x:c r="H31" s="152" t="str">
        <x:v>Independent Python arithmetic</x:v>
      </x:c>
      <x:c r="I31" s="152" t="str">
        <x:f>IF(F31&lt;=G31,"PASS","REVIEW")</x:f>
        <x:v>PASS</x:v>
      </x:c>
      <x:c r="J31" s="78"/>
      <x:c r="K31" s="78"/>
    </x:row>
    <x:row r="32">
      <x:c r="B32" s="152" t="str">
        <x:v>SD-2-Lr</x:v>
      </x:c>
      <x:c r="C32" s="186" t="n">
        <x:f>SUMPRODUCT('14_LOAD_COMBOS'!E18:L18,'14_LOAD_COMBOS'!C13:J13)</x:f>
        <x:v>51.5</x:v>
      </x:c>
      <x:c r="D32" s="186" t="n">
        <x:v>51.5</x:v>
      </x:c>
      <x:c r="E32" s="186" t="str">
        <x:v>arb.</x:v>
      </x:c>
      <x:c r="F32" s="186" t="n">
        <x:f>ABS(C32-D32)</x:f>
        <x:v>0</x:v>
      </x:c>
      <x:c r="G32" s="186" t="n">
        <x:v>0.0001</x:v>
      </x:c>
      <x:c r="H32" s="152" t="str">
        <x:v>Independent Python arithmetic</x:v>
      </x:c>
      <x:c r="I32" s="152" t="str">
        <x:f>IF(F32&lt;=G32,"PASS","REVIEW")</x:f>
        <x:v>PASS</x:v>
      </x:c>
      <x:c r="J32" s="78"/>
      <x:c r="K32" s="78"/>
    </x:row>
    <x:row r="33">
      <x:c r="B33" s="152" t="str">
        <x:v>SD-2-S</x:v>
      </x:c>
      <x:c r="C33" s="186" t="n">
        <x:f>SUMPRODUCT('14_LOAD_COMBOS'!E19:L19,'14_LOAD_COMBOS'!C13:J13)</x:f>
        <x:v>47.6</x:v>
      </x:c>
      <x:c r="D33" s="186" t="n">
        <x:v>47.6</x:v>
      </x:c>
      <x:c r="E33" s="186" t="str">
        <x:v>arb.</x:v>
      </x:c>
      <x:c r="F33" s="186" t="n">
        <x:f>ABS(C33-D33)</x:f>
        <x:v>0</x:v>
      </x:c>
      <x:c r="G33" s="186" t="n">
        <x:v>0.0001</x:v>
      </x:c>
      <x:c r="H33" s="152" t="str">
        <x:v>Independent Python arithmetic</x:v>
      </x:c>
      <x:c r="I33" s="152" t="str">
        <x:f>IF(F33&lt;=G33,"PASS","REVIEW")</x:f>
        <x:v>PASS</x:v>
      </x:c>
      <x:c r="J33" s="78"/>
      <x:c r="K33" s="78"/>
    </x:row>
    <x:row r="34">
      <x:c r="B34" s="152" t="str">
        <x:v>SD-2-R</x:v>
      </x:c>
      <x:c r="C34" s="186" t="n">
        <x:f>SUMPRODUCT('14_LOAD_COMBOS'!E20:L20,'14_LOAD_COMBOS'!C13:J13)</x:f>
        <x:v>48</x:v>
      </x:c>
      <x:c r="D34" s="186" t="n">
        <x:v>48</x:v>
      </x:c>
      <x:c r="E34" s="186" t="str">
        <x:v>arb.</x:v>
      </x:c>
      <x:c r="F34" s="186" t="n">
        <x:f>ABS(C34-D34)</x:f>
        <x:v>0</x:v>
      </x:c>
      <x:c r="G34" s="186" t="n">
        <x:v>0.0001</x:v>
      </x:c>
      <x:c r="H34" s="152" t="str">
        <x:v>Independent Python arithmetic</x:v>
      </x:c>
      <x:c r="I34" s="152" t="str">
        <x:f>IF(F34&lt;=G34,"PASS","REVIEW")</x:f>
        <x:v>PASS</x:v>
      </x:c>
      <x:c r="J34" s="78"/>
      <x:c r="K34" s="78"/>
    </x:row>
    <x:row r="35">
      <x:c r="B35" s="152" t="str">
        <x:v>SD-3-Lr-L</x:v>
      </x:c>
      <x:c r="C35" s="186" t="n">
        <x:f>SUMPRODUCT('14_LOAD_COMBOS'!E21:L21,'14_LOAD_COMBOS'!C13:J13)</x:f>
        <x:v>56</x:v>
      </x:c>
      <x:c r="D35" s="186" t="n">
        <x:v>56</x:v>
      </x:c>
      <x:c r="E35" s="186" t="str">
        <x:v>arb.</x:v>
      </x:c>
      <x:c r="F35" s="186" t="n">
        <x:f>ABS(C35-D35)</x:f>
        <x:v>0</x:v>
      </x:c>
      <x:c r="G35" s="186" t="n">
        <x:v>0.0001</x:v>
      </x:c>
      <x:c r="H35" s="152" t="str">
        <x:v>Independent Python arithmetic</x:v>
      </x:c>
      <x:c r="I35" s="152" t="str">
        <x:f>IF(F35&lt;=G35,"PASS","REVIEW")</x:f>
        <x:v>PASS</x:v>
      </x:c>
      <x:c r="J35" s="78"/>
      <x:c r="K35" s="78"/>
    </x:row>
    <x:row r="36">
      <x:c r="B36" s="152" t="str">
        <x:v>SD-3-Lr-W+</x:v>
      </x:c>
      <x:c r="C36" s="186" t="n">
        <x:f>SUMPRODUCT('14_LOAD_COMBOS'!E22:L22,'14_LOAD_COMBOS'!C13:J13)</x:f>
        <x:v>48.5</x:v>
      </x:c>
      <x:c r="D36" s="186" t="n">
        <x:v>48.5</x:v>
      </x:c>
      <x:c r="E36" s="186" t="str">
        <x:v>arb.</x:v>
      </x:c>
      <x:c r="F36" s="186" t="n">
        <x:f>ABS(C36-D36)</x:f>
        <x:v>0</x:v>
      </x:c>
      <x:c r="G36" s="186" t="n">
        <x:v>0.0001</x:v>
      </x:c>
      <x:c r="H36" s="152" t="str">
        <x:v>Independent Python arithmetic</x:v>
      </x:c>
      <x:c r="I36" s="152" t="str">
        <x:f>IF(F36&lt;=G36,"PASS","REVIEW")</x:f>
        <x:v>PASS</x:v>
      </x:c>
      <x:c r="J36" s="78"/>
      <x:c r="K36" s="78"/>
    </x:row>
    <x:row r="37">
      <x:c r="B37" s="152" t="str">
        <x:v>SD-3-Lr-W-</x:v>
      </x:c>
      <x:c r="C37" s="186" t="n">
        <x:f>SUMPRODUCT('14_LOAD_COMBOS'!E23:L23,'14_LOAD_COMBOS'!C13:J13)</x:f>
        <x:v>23.5</x:v>
      </x:c>
      <x:c r="D37" s="186" t="n">
        <x:v>23.5</x:v>
      </x:c>
      <x:c r="E37" s="186" t="str">
        <x:v>arb.</x:v>
      </x:c>
      <x:c r="F37" s="186" t="n">
        <x:f>ABS(C37-D37)</x:f>
        <x:v>0</x:v>
      </x:c>
      <x:c r="G37" s="186" t="n">
        <x:v>0.0001</x:v>
      </x:c>
      <x:c r="H37" s="152" t="str">
        <x:v>Independent Python arithmetic</x:v>
      </x:c>
      <x:c r="I37" s="152" t="str">
        <x:f>IF(F37&lt;=G37,"PASS","REVIEW")</x:f>
        <x:v>PASS</x:v>
      </x:c>
      <x:c r="J37" s="78"/>
      <x:c r="K37" s="78"/>
    </x:row>
    <x:row r="38">
      <x:c r="B38" s="152" t="str">
        <x:v>SD-3-S-L</x:v>
      </x:c>
      <x:c r="C38" s="186" t="n">
        <x:f>SUMPRODUCT('14_LOAD_COMBOS'!E24:L24,'14_LOAD_COMBOS'!C13:J13)</x:f>
        <x:v>44</x:v>
      </x:c>
      <x:c r="D38" s="186" t="n">
        <x:v>44</x:v>
      </x:c>
      <x:c r="E38" s="186" t="str">
        <x:v>arb.</x:v>
      </x:c>
      <x:c r="F38" s="186" t="n">
        <x:f>ABS(C38-D38)</x:f>
        <x:v>0</x:v>
      </x:c>
      <x:c r="G38" s="186" t="n">
        <x:v>0.0001</x:v>
      </x:c>
      <x:c r="H38" s="152" t="str">
        <x:v>Independent Python arithmetic</x:v>
      </x:c>
      <x:c r="I38" s="152" t="str">
        <x:f>IF(F38&lt;=G38,"PASS","REVIEW")</x:f>
        <x:v>PASS</x:v>
      </x:c>
      <x:c r="J38" s="78"/>
      <x:c r="K38" s="78"/>
    </x:row>
    <x:row r="39">
      <x:c r="B39" s="152" t="str">
        <x:v>SD-3-S-W+</x:v>
      </x:c>
      <x:c r="C39" s="186" t="n">
        <x:f>SUMPRODUCT('14_LOAD_COMBOS'!E25:L25,'14_LOAD_COMBOS'!C13:J13)</x:f>
        <x:v>36.5</x:v>
      </x:c>
      <x:c r="D39" s="186" t="n">
        <x:v>36.5</x:v>
      </x:c>
      <x:c r="E39" s="186" t="str">
        <x:v>arb.</x:v>
      </x:c>
      <x:c r="F39" s="186" t="n">
        <x:f>ABS(C39-D39)</x:f>
        <x:v>0</x:v>
      </x:c>
      <x:c r="G39" s="186" t="n">
        <x:v>0.0001</x:v>
      </x:c>
      <x:c r="H39" s="152" t="str">
        <x:v>Independent Python arithmetic</x:v>
      </x:c>
      <x:c r="I39" s="152" t="str">
        <x:f>IF(F39&lt;=G39,"PASS","REVIEW")</x:f>
        <x:v>PASS</x:v>
      </x:c>
      <x:c r="J39" s="78"/>
      <x:c r="K39" s="78"/>
    </x:row>
    <x:row r="40">
      <x:c r="B40" s="152" t="str">
        <x:v>SD-3-S-W-</x:v>
      </x:c>
      <x:c r="C40" s="186" t="n">
        <x:f>SUMPRODUCT('14_LOAD_COMBOS'!E26:L26,'14_LOAD_COMBOS'!C13:J13)</x:f>
        <x:v>11.5</x:v>
      </x:c>
      <x:c r="D40" s="186" t="n">
        <x:v>11.5</x:v>
      </x:c>
      <x:c r="E40" s="186" t="str">
        <x:v>arb.</x:v>
      </x:c>
      <x:c r="F40" s="186" t="n">
        <x:f>ABS(C40-D40)</x:f>
        <x:v>0</x:v>
      </x:c>
      <x:c r="G40" s="186" t="n">
        <x:v>0.0001</x:v>
      </x:c>
      <x:c r="H40" s="152" t="str">
        <x:v>Independent Python arithmetic</x:v>
      </x:c>
      <x:c r="I40" s="152" t="str">
        <x:f>IF(F40&lt;=G40,"PASS","REVIEW")</x:f>
        <x:v>PASS</x:v>
      </x:c>
      <x:c r="J40" s="78"/>
      <x:c r="K40" s="78"/>
    </x:row>
    <x:row r="41">
      <x:c r="B41" s="152" t="str">
        <x:v>SD-3-R-L</x:v>
      </x:c>
      <x:c r="C41" s="186" t="n">
        <x:f>SUMPRODUCT('14_LOAD_COMBOS'!E27:L27,'14_LOAD_COMBOS'!C13:J13)</x:f>
        <x:v>44.8</x:v>
      </x:c>
      <x:c r="D41" s="186" t="n">
        <x:v>44.8</x:v>
      </x:c>
      <x:c r="E41" s="186" t="str">
        <x:v>arb.</x:v>
      </x:c>
      <x:c r="F41" s="186" t="n">
        <x:f>ABS(C41-D41)</x:f>
        <x:v>0</x:v>
      </x:c>
      <x:c r="G41" s="186" t="n">
        <x:v>0.0001</x:v>
      </x:c>
      <x:c r="H41" s="152" t="str">
        <x:v>Independent Python arithmetic</x:v>
      </x:c>
      <x:c r="I41" s="152" t="str">
        <x:f>IF(F41&lt;=G41,"PASS","REVIEW")</x:f>
        <x:v>PASS</x:v>
      </x:c>
      <x:c r="J41" s="78"/>
      <x:c r="K41" s="78"/>
    </x:row>
    <x:row r="42">
      <x:c r="B42" s="152" t="str">
        <x:v>SD-3-R-W+</x:v>
      </x:c>
      <x:c r="C42" s="186" t="n">
        <x:f>SUMPRODUCT('14_LOAD_COMBOS'!E28:L28,'14_LOAD_COMBOS'!C13:J13)</x:f>
        <x:v>37.3</x:v>
      </x:c>
      <x:c r="D42" s="186" t="n">
        <x:v>37.3</x:v>
      </x:c>
      <x:c r="E42" s="186" t="str">
        <x:v>arb.</x:v>
      </x:c>
      <x:c r="F42" s="186" t="n">
        <x:f>ABS(C42-D42)</x:f>
        <x:v>0</x:v>
      </x:c>
      <x:c r="G42" s="186" t="n">
        <x:v>0.0001</x:v>
      </x:c>
      <x:c r="H42" s="152" t="str">
        <x:v>Independent Python arithmetic</x:v>
      </x:c>
      <x:c r="I42" s="152" t="str">
        <x:f>IF(F42&lt;=G42,"PASS","REVIEW")</x:f>
        <x:v>PASS</x:v>
      </x:c>
      <x:c r="J42" s="78"/>
      <x:c r="K42" s="78"/>
    </x:row>
    <x:row r="43">
      <x:c r="B43" s="152" t="str">
        <x:v>SD-3-R-W-</x:v>
      </x:c>
      <x:c r="C43" s="186" t="n">
        <x:f>SUMPRODUCT('14_LOAD_COMBOS'!E29:L29,'14_LOAD_COMBOS'!C13:J13)</x:f>
        <x:v>12.3</x:v>
      </x:c>
      <x:c r="D43" s="186" t="n">
        <x:v>12.3</x:v>
      </x:c>
      <x:c r="E43" s="186" t="str">
        <x:v>arb.</x:v>
      </x:c>
      <x:c r="F43" s="186" t="n">
        <x:f>ABS(C43-D43)</x:f>
        <x:v>0</x:v>
      </x:c>
      <x:c r="G43" s="186" t="n">
        <x:v>0.0001</x:v>
      </x:c>
      <x:c r="H43" s="152" t="str">
        <x:v>Independent Python arithmetic</x:v>
      </x:c>
      <x:c r="I43" s="152" t="str">
        <x:f>IF(F43&lt;=G43,"PASS","REVIEW")</x:f>
        <x:v>PASS</x:v>
      </x:c>
      <x:c r="J43" s="78"/>
      <x:c r="K43" s="78"/>
    </x:row>
    <x:row r="44">
      <x:c r="B44" s="152" t="str">
        <x:v>SD-4-Lr-W+</x:v>
      </x:c>
      <x:c r="C44" s="186" t="n">
        <x:f>SUMPRODUCT('14_LOAD_COMBOS'!E30:L30,'14_LOAD_COMBOS'!C13:J13)</x:f>
        <x:v>64.5</x:v>
      </x:c>
      <x:c r="D44" s="186" t="n">
        <x:v>64.5</x:v>
      </x:c>
      <x:c r="E44" s="186" t="str">
        <x:v>arb.</x:v>
      </x:c>
      <x:c r="F44" s="186" t="n">
        <x:f>ABS(C44-D44)</x:f>
        <x:v>0</x:v>
      </x:c>
      <x:c r="G44" s="186" t="n">
        <x:v>0.0001</x:v>
      </x:c>
      <x:c r="H44" s="152" t="str">
        <x:v>Independent Python arithmetic</x:v>
      </x:c>
      <x:c r="I44" s="152" t="str">
        <x:f>IF(F44&lt;=G44,"PASS","REVIEW")</x:f>
        <x:v>PASS</x:v>
      </x:c>
      <x:c r="J44" s="78"/>
      <x:c r="K44" s="78"/>
    </x:row>
    <x:row r="45">
      <x:c r="B45" s="152" t="str">
        <x:v>SD-4-Lr-W-</x:v>
      </x:c>
      <x:c r="C45" s="186" t="n">
        <x:f>SUMPRODUCT('14_LOAD_COMBOS'!E31:L31,'14_LOAD_COMBOS'!C13:J13)</x:f>
        <x:v>14.5</x:v>
      </x:c>
      <x:c r="D45" s="186" t="n">
        <x:v>14.5</x:v>
      </x:c>
      <x:c r="E45" s="186" t="str">
        <x:v>arb.</x:v>
      </x:c>
      <x:c r="F45" s="186" t="n">
        <x:f>ABS(C45-D45)</x:f>
        <x:v>0</x:v>
      </x:c>
      <x:c r="G45" s="186" t="n">
        <x:v>0.0001</x:v>
      </x:c>
      <x:c r="H45" s="152" t="str">
        <x:v>Independent Python arithmetic</x:v>
      </x:c>
      <x:c r="I45" s="152" t="str">
        <x:f>IF(F45&lt;=G45,"PASS","REVIEW")</x:f>
        <x:v>PASS</x:v>
      </x:c>
      <x:c r="J45" s="78"/>
      <x:c r="K45" s="78"/>
    </x:row>
    <x:row r="46">
      <x:c r="B46" s="152" t="str">
        <x:v>SD-4-S-W+</x:v>
      </x:c>
      <x:c r="C46" s="186" t="n">
        <x:f>SUMPRODUCT('14_LOAD_COMBOS'!E32:L32,'14_LOAD_COMBOS'!C13:J13)</x:f>
        <x:v>60.6</x:v>
      </x:c>
      <x:c r="D46" s="186" t="n">
        <x:v>60.6</x:v>
      </x:c>
      <x:c r="E46" s="186" t="str">
        <x:v>arb.</x:v>
      </x:c>
      <x:c r="F46" s="186" t="n">
        <x:f>ABS(C46-D46)</x:f>
        <x:v>0</x:v>
      </x:c>
      <x:c r="G46" s="186" t="n">
        <x:v>0.0001</x:v>
      </x:c>
      <x:c r="H46" s="152" t="str">
        <x:v>Independent Python arithmetic</x:v>
      </x:c>
      <x:c r="I46" s="152" t="str">
        <x:f>IF(F46&lt;=G46,"PASS","REVIEW")</x:f>
        <x:v>PASS</x:v>
      </x:c>
      <x:c r="J46" s="78"/>
      <x:c r="K46" s="78"/>
    </x:row>
    <x:row r="47">
      <x:c r="B47" s="152" t="str">
        <x:v>SD-4-S-W-</x:v>
      </x:c>
      <x:c r="C47" s="186" t="n">
        <x:f>SUMPRODUCT('14_LOAD_COMBOS'!E33:L33,'14_LOAD_COMBOS'!C13:J13)</x:f>
        <x:v>10.600000000000001</x:v>
      </x:c>
      <x:c r="D47" s="186" t="n">
        <x:v>10.6</x:v>
      </x:c>
      <x:c r="E47" s="186" t="str">
        <x:v>arb.</x:v>
      </x:c>
      <x:c r="F47" s="186" t="n">
        <x:f>ABS(C47-D47)</x:f>
        <x:v>1.7763568394002505e-15</x:v>
      </x:c>
      <x:c r="G47" s="186" t="n">
        <x:v>0.0001</x:v>
      </x:c>
      <x:c r="H47" s="152" t="str">
        <x:v>Independent Python arithmetic</x:v>
      </x:c>
      <x:c r="I47" s="152" t="str">
        <x:f>IF(F47&lt;=G47,"PASS","REVIEW")</x:f>
        <x:v>PASS</x:v>
      </x:c>
      <x:c r="J47" s="78"/>
      <x:c r="K47" s="78"/>
    </x:row>
    <x:row r="48">
      <x:c r="B48" s="152" t="str">
        <x:v>SD-4-R-W+</x:v>
      </x:c>
      <x:c r="C48" s="186" t="n">
        <x:f>SUMPRODUCT('14_LOAD_COMBOS'!E34:L34,'14_LOAD_COMBOS'!C13:J13)</x:f>
        <x:v>61</x:v>
      </x:c>
      <x:c r="D48" s="186" t="n">
        <x:v>61</x:v>
      </x:c>
      <x:c r="E48" s="186" t="str">
        <x:v>arb.</x:v>
      </x:c>
      <x:c r="F48" s="186" t="n">
        <x:f>ABS(C48-D48)</x:f>
        <x:v>0</x:v>
      </x:c>
      <x:c r="G48" s="186" t="n">
        <x:v>0.0001</x:v>
      </x:c>
      <x:c r="H48" s="152" t="str">
        <x:v>Independent Python arithmetic</x:v>
      </x:c>
      <x:c r="I48" s="152" t="str">
        <x:f>IF(F48&lt;=G48,"PASS","REVIEW")</x:f>
        <x:v>PASS</x:v>
      </x:c>
      <x:c r="J48" s="78"/>
      <x:c r="K48" s="78"/>
    </x:row>
    <x:row r="49">
      <x:c r="B49" s="152" t="str">
        <x:v>SD-4-R-W-</x:v>
      </x:c>
      <x:c r="C49" s="186" t="n">
        <x:f>SUMPRODUCT('14_LOAD_COMBOS'!E35:L35,'14_LOAD_COMBOS'!C13:J13)</x:f>
        <x:v>11</x:v>
      </x:c>
      <x:c r="D49" s="186" t="n">
        <x:v>11</x:v>
      </x:c>
      <x:c r="E49" s="186" t="str">
        <x:v>arb.</x:v>
      </x:c>
      <x:c r="F49" s="186" t="n">
        <x:f>ABS(C49-D49)</x:f>
        <x:v>0</x:v>
      </x:c>
      <x:c r="G49" s="186" t="n">
        <x:v>0.0001</x:v>
      </x:c>
      <x:c r="H49" s="152" t="str">
        <x:v>Independent Python arithmetic</x:v>
      </x:c>
      <x:c r="I49" s="152" t="str">
        <x:f>IF(F49&lt;=G49,"PASS","REVIEW")</x:f>
        <x:v>PASS</x:v>
      </x:c>
      <x:c r="J49" s="78"/>
      <x:c r="K49" s="78"/>
    </x:row>
    <x:row r="50">
      <x:c r="B50" s="152" t="str">
        <x:v>SD-5-W+</x:v>
      </x:c>
      <x:c r="C50" s="186" t="n">
        <x:f>SUMPRODUCT('14_LOAD_COMBOS'!E36:L36,'14_LOAD_COMBOS'!C13:J13)</x:f>
        <x:v>34</x:v>
      </x:c>
      <x:c r="D50" s="186" t="n">
        <x:v>34</x:v>
      </x:c>
      <x:c r="E50" s="186" t="str">
        <x:v>arb.</x:v>
      </x:c>
      <x:c r="F50" s="186" t="n">
        <x:f>ABS(C50-D50)</x:f>
        <x:v>0</x:v>
      </x:c>
      <x:c r="G50" s="186" t="n">
        <x:v>0.0001</x:v>
      </x:c>
      <x:c r="H50" s="152" t="str">
        <x:v>Independent Python arithmetic</x:v>
      </x:c>
      <x:c r="I50" s="152" t="str">
        <x:f>IF(F50&lt;=G50,"PASS","REVIEW")</x:f>
        <x:v>PASS</x:v>
      </x:c>
      <x:c r="J50" s="78"/>
      <x:c r="K50" s="78"/>
    </x:row>
    <x:row r="51">
      <x:c r="B51" s="152" t="str">
        <x:v>SD-5-W-</x:v>
      </x:c>
      <x:c r="C51" s="186" t="n">
        <x:f>SUMPRODUCT('14_LOAD_COMBOS'!E37:L37,'14_LOAD_COMBOS'!C13:J13)</x:f>
        <x:v>-16</x:v>
      </x:c>
      <x:c r="D51" s="186" t="n">
        <x:v>-16</x:v>
      </x:c>
      <x:c r="E51" s="186" t="str">
        <x:v>arb.</x:v>
      </x:c>
      <x:c r="F51" s="186" t="n">
        <x:f>ABS(C51-D51)</x:f>
        <x:v>0</x:v>
      </x:c>
      <x:c r="G51" s="186" t="n">
        <x:v>0.0001</x:v>
      </x:c>
      <x:c r="H51" s="152" t="str">
        <x:v>Independent Python arithmetic</x:v>
      </x:c>
      <x:c r="I51" s="152" t="str">
        <x:f>IF(F51&lt;=G51,"PASS","REVIEW")</x:f>
        <x:v>PASS</x:v>
      </x:c>
      <x:c r="J51" s="78"/>
      <x:c r="K51" s="78"/>
    </x:row>
    <x:row r="52">
      <x:c r="B52" s="152" t="str">
        <x:v>SD-6-E+</x:v>
      </x:c>
      <x:c r="C52" s="186" t="n">
        <x:f>SUMPRODUCT('14_LOAD_COMBOS'!E38:L38,'14_LOAD_COMBOS'!C13:J13)</x:f>
        <x:v>53.8</x:v>
      </x:c>
      <x:c r="D52" s="186" t="n">
        <x:v>53.8</x:v>
      </x:c>
      <x:c r="E52" s="186" t="str">
        <x:v>arb.</x:v>
      </x:c>
      <x:c r="F52" s="186" t="n">
        <x:f>ABS(C52-D52)</x:f>
        <x:v>0</x:v>
      </x:c>
      <x:c r="G52" s="186" t="n">
        <x:v>0.0001</x:v>
      </x:c>
      <x:c r="H52" s="152" t="str">
        <x:v>Independent Python arithmetic</x:v>
      </x:c>
      <x:c r="I52" s="152" t="str">
        <x:f>IF(F52&lt;=G52,"PASS","REVIEW")</x:f>
        <x:v>PASS</x:v>
      </x:c>
      <x:c r="J52" s="78"/>
      <x:c r="K52" s="78"/>
    </x:row>
    <x:row r="53">
      <x:c r="B53" s="152" t="str">
        <x:v>SD-6-E-</x:v>
      </x:c>
      <x:c r="C53" s="186" t="n">
        <x:f>SUMPRODUCT('14_LOAD_COMBOS'!E39:L39,'14_LOAD_COMBOS'!C13:J13)</x:f>
        <x:v>17.799999999999997</x:v>
      </x:c>
      <x:c r="D53" s="186" t="n">
        <x:v>17.8</x:v>
      </x:c>
      <x:c r="E53" s="186" t="str">
        <x:v>arb.</x:v>
      </x:c>
      <x:c r="F53" s="186" t="n">
        <x:f>ABS(C53-D53)</x:f>
        <x:v>3.552713678800501e-15</x:v>
      </x:c>
      <x:c r="G53" s="186" t="n">
        <x:v>0.0001</x:v>
      </x:c>
      <x:c r="H53" s="152" t="str">
        <x:v>Independent Python arithmetic</x:v>
      </x:c>
      <x:c r="I53" s="152" t="str">
        <x:f>IF(F53&lt;=G53,"PASS","REVIEW")</x:f>
        <x:v>PASS</x:v>
      </x:c>
      <x:c r="J53" s="78"/>
      <x:c r="K53" s="78"/>
    </x:row>
    <x:row r="54">
      <x:c r="B54" s="152" t="str">
        <x:v>SD-7-E+</x:v>
      </x:c>
      <x:c r="C54" s="186" t="n">
        <x:f>SUMPRODUCT('14_LOAD_COMBOS'!E40:L40,'14_LOAD_COMBOS'!C13:J13)</x:f>
        <x:v>25</x:v>
      </x:c>
      <x:c r="D54" s="186" t="n">
        <x:v>25</x:v>
      </x:c>
      <x:c r="E54" s="186" t="str">
        <x:v>arb.</x:v>
      </x:c>
      <x:c r="F54" s="186" t="n">
        <x:f>ABS(C54-D54)</x:f>
        <x:v>0</x:v>
      </x:c>
      <x:c r="G54" s="186" t="n">
        <x:v>0.0001</x:v>
      </x:c>
      <x:c r="H54" s="152" t="str">
        <x:v>Independent Python arithmetic</x:v>
      </x:c>
      <x:c r="I54" s="152" t="str">
        <x:f>IF(F54&lt;=G54,"PASS","REVIEW")</x:f>
        <x:v>PASS</x:v>
      </x:c>
      <x:c r="J54" s="78"/>
      <x:c r="K54" s="78"/>
    </x:row>
    <x:row r="55">
      <x:c r="B55" s="152" t="str">
        <x:v>SD-7-E-</x:v>
      </x:c>
      <x:c r="C55" s="186" t="n">
        <x:f>SUMPRODUCT('14_LOAD_COMBOS'!E41:L41,'14_LOAD_COMBOS'!C13:J13)</x:f>
        <x:v>-11</x:v>
      </x:c>
      <x:c r="D55" s="186" t="n">
        <x:v>-11</x:v>
      </x:c>
      <x:c r="E55" s="186" t="str">
        <x:v>arb.</x:v>
      </x:c>
      <x:c r="F55" s="186" t="n">
        <x:f>ABS(C55-D55)</x:f>
        <x:v>0</x:v>
      </x:c>
      <x:c r="G55" s="186" t="n">
        <x:v>0.0001</x:v>
      </x:c>
      <x:c r="H55" s="152" t="str">
        <x:v>Independent Python arithmetic</x:v>
      </x:c>
      <x:c r="I55" s="152" t="str">
        <x:f>IF(F55&lt;=G55,"PASS","REVIEW")</x:f>
        <x:v>PASS</x:v>
      </x:c>
      <x:c r="J55" s="78"/>
      <x:c r="K55" s="78"/>
    </x:row>
    <x:row r="56">
      <x:c r="B56" s="152" t="str">
        <x:v>ASD-1</x:v>
      </x:c>
      <x:c r="C56" s="186" t="n">
        <x:f>SUMPRODUCT('14_LOAD_COMBOS'!E42:L42,'14_LOAD_COMBOS'!C13:J13)</x:f>
        <x:v>10</x:v>
      </x:c>
      <x:c r="D56" s="186" t="n">
        <x:v>10</x:v>
      </x:c>
      <x:c r="E56" s="186" t="str">
        <x:v>arb.</x:v>
      </x:c>
      <x:c r="F56" s="186" t="n">
        <x:f>ABS(C56-D56)</x:f>
        <x:v>0</x:v>
      </x:c>
      <x:c r="G56" s="186" t="n">
        <x:v>0.0001</x:v>
      </x:c>
      <x:c r="H56" s="152" t="str">
        <x:v>Independent Python arithmetic</x:v>
      </x:c>
      <x:c r="I56" s="152" t="str">
        <x:f>IF(F56&lt;=G56,"PASS","REVIEW")</x:f>
        <x:v>PASS</x:v>
      </x:c>
      <x:c r="J56" s="78"/>
      <x:c r="K56" s="78"/>
    </x:row>
    <x:row r="57">
      <x:c r="B57" s="152" t="str">
        <x:v>ASD-2</x:v>
      </x:c>
      <x:c r="C57" s="186" t="n">
        <x:f>SUMPRODUCT('14_LOAD_COMBOS'!E43:L43,'14_LOAD_COMBOS'!C13:J13)</x:f>
        <x:v>30</x:v>
      </x:c>
      <x:c r="D57" s="186" t="n">
        <x:v>30</x:v>
      </x:c>
      <x:c r="E57" s="186" t="str">
        <x:v>arb.</x:v>
      </x:c>
      <x:c r="F57" s="186" t="n">
        <x:f>ABS(C57-D57)</x:f>
        <x:v>0</x:v>
      </x:c>
      <x:c r="G57" s="186" t="n">
        <x:v>0.0001</x:v>
      </x:c>
      <x:c r="H57" s="152" t="str">
        <x:v>Independent Python arithmetic</x:v>
      </x:c>
      <x:c r="I57" s="152" t="str">
        <x:f>IF(F57&lt;=G57,"PASS","REVIEW")</x:f>
        <x:v>PASS</x:v>
      </x:c>
      <x:c r="J57" s="78"/>
      <x:c r="K57" s="78"/>
    </x:row>
    <x:row r="58">
      <x:c r="B58" s="152" t="str">
        <x:v>ASD-3-Lr</x:v>
      </x:c>
      <x:c r="C58" s="186" t="n">
        <x:f>SUMPRODUCT('14_LOAD_COMBOS'!E44:L44,'14_LOAD_COMBOS'!C13:J13)</x:f>
        <x:v>25</x:v>
      </x:c>
      <x:c r="D58" s="186" t="n">
        <x:v>25</x:v>
      </x:c>
      <x:c r="E58" s="186" t="str">
        <x:v>arb.</x:v>
      </x:c>
      <x:c r="F58" s="186" t="n">
        <x:f>ABS(C58-D58)</x:f>
        <x:v>0</x:v>
      </x:c>
      <x:c r="G58" s="186" t="n">
        <x:v>0.0001</x:v>
      </x:c>
      <x:c r="H58" s="152" t="str">
        <x:v>Independent Python arithmetic</x:v>
      </x:c>
      <x:c r="I58" s="152" t="str">
        <x:f>IF(F58&lt;=G58,"PASS","REVIEW")</x:f>
        <x:v>PASS</x:v>
      </x:c>
      <x:c r="J58" s="78"/>
      <x:c r="K58" s="78"/>
    </x:row>
    <x:row r="59">
      <x:c r="B59" s="152" t="str">
        <x:v>ASD-3-S</x:v>
      </x:c>
      <x:c r="C59" s="186" t="n">
        <x:f>SUMPRODUCT('14_LOAD_COMBOS'!E45:L45,'14_LOAD_COMBOS'!C13:J13)</x:f>
        <x:v>18.4</x:v>
      </x:c>
      <x:c r="D59" s="186" t="n">
        <x:v>18.4</x:v>
      </x:c>
      <x:c r="E59" s="186" t="str">
        <x:v>arb.</x:v>
      </x:c>
      <x:c r="F59" s="186" t="n">
        <x:f>ABS(C59-D59)</x:f>
        <x:v>0</x:v>
      </x:c>
      <x:c r="G59" s="186" t="n">
        <x:v>0.0001</x:v>
      </x:c>
      <x:c r="H59" s="152" t="str">
        <x:v>Independent Python arithmetic</x:v>
      </x:c>
      <x:c r="I59" s="152" t="str">
        <x:f>IF(F59&lt;=G59,"PASS","REVIEW")</x:f>
        <x:v>PASS</x:v>
      </x:c>
      <x:c r="J59" s="78"/>
      <x:c r="K59" s="78"/>
    </x:row>
    <x:row r="60">
      <x:c r="B60" s="152" t="str">
        <x:v>ASD-3-R</x:v>
      </x:c>
      <x:c r="C60" s="186" t="n">
        <x:f>SUMPRODUCT('14_LOAD_COMBOS'!E46:L46,'14_LOAD_COMBOS'!C13:J13)</x:f>
        <x:v>18</x:v>
      </x:c>
      <x:c r="D60" s="186" t="n">
        <x:v>18</x:v>
      </x:c>
      <x:c r="E60" s="186" t="str">
        <x:v>arb.</x:v>
      </x:c>
      <x:c r="F60" s="186" t="n">
        <x:f>ABS(C60-D60)</x:f>
        <x:v>0</x:v>
      </x:c>
      <x:c r="G60" s="186" t="n">
        <x:v>0.0001</x:v>
      </x:c>
      <x:c r="H60" s="152" t="str">
        <x:v>Independent Python arithmetic</x:v>
      </x:c>
      <x:c r="I60" s="152" t="str">
        <x:f>IF(F60&lt;=G60,"PASS","REVIEW")</x:f>
        <x:v>PASS</x:v>
      </x:c>
      <x:c r="J60" s="78"/>
      <x:c r="K60" s="78"/>
    </x:row>
    <x:row r="61">
      <x:c r="B61" s="152" t="str">
        <x:v>ASD-4-Lr</x:v>
      </x:c>
      <x:c r="C61" s="186" t="n">
        <x:f>SUMPRODUCT('14_LOAD_COMBOS'!E47:L47,'14_LOAD_COMBOS'!C13:J13)</x:f>
        <x:v>36.25</x:v>
      </x:c>
      <x:c r="D61" s="186" t="n">
        <x:v>36.25</x:v>
      </x:c>
      <x:c r="E61" s="186" t="str">
        <x:v>arb.</x:v>
      </x:c>
      <x:c r="F61" s="186" t="n">
        <x:f>ABS(C61-D61)</x:f>
        <x:v>0</x:v>
      </x:c>
      <x:c r="G61" s="186" t="n">
        <x:v>0.0001</x:v>
      </x:c>
      <x:c r="H61" s="152" t="str">
        <x:v>Independent Python arithmetic</x:v>
      </x:c>
      <x:c r="I61" s="152" t="str">
        <x:f>IF(F61&lt;=G61,"PASS","REVIEW")</x:f>
        <x:v>PASS</x:v>
      </x:c>
      <x:c r="J61" s="78"/>
      <x:c r="K61" s="78"/>
    </x:row>
    <x:row r="62">
      <x:c r="B62" s="152" t="str">
        <x:v>ASD-4-S</x:v>
      </x:c>
      <x:c r="C62" s="186" t="n">
        <x:f>SUMPRODUCT('14_LOAD_COMBOS'!E48:L48,'14_LOAD_COMBOS'!C13:J13)</x:f>
        <x:v>31.3</x:v>
      </x:c>
      <x:c r="D62" s="186" t="n">
        <x:v>31.299999999999997</x:v>
      </x:c>
      <x:c r="E62" s="186" t="str">
        <x:v>arb.</x:v>
      </x:c>
      <x:c r="F62" s="186" t="n">
        <x:f>ABS(C62-D62)</x:f>
        <x:v>3.552713678800501e-15</x:v>
      </x:c>
      <x:c r="G62" s="186" t="n">
        <x:v>0.0001</x:v>
      </x:c>
      <x:c r="H62" s="152" t="str">
        <x:v>Independent Python arithmetic</x:v>
      </x:c>
      <x:c r="I62" s="152" t="str">
        <x:f>IF(F62&lt;=G62,"PASS","REVIEW")</x:f>
        <x:v>PASS</x:v>
      </x:c>
      <x:c r="J62" s="78"/>
      <x:c r="K62" s="78"/>
    </x:row>
    <x:row r="63">
      <x:c r="B63" s="152" t="str">
        <x:v>ASD-4-R</x:v>
      </x:c>
      <x:c r="C63" s="186" t="n">
        <x:f>SUMPRODUCT('14_LOAD_COMBOS'!E49:L49,'14_LOAD_COMBOS'!C13:J13)</x:f>
        <x:v>31</x:v>
      </x:c>
      <x:c r="D63" s="186" t="n">
        <x:v>31</x:v>
      </x:c>
      <x:c r="E63" s="186" t="str">
        <x:v>arb.</x:v>
      </x:c>
      <x:c r="F63" s="186" t="n">
        <x:f>ABS(C63-D63)</x:f>
        <x:v>0</x:v>
      </x:c>
      <x:c r="G63" s="186" t="n">
        <x:v>0.0001</x:v>
      </x:c>
      <x:c r="H63" s="152" t="str">
        <x:v>Independent Python arithmetic</x:v>
      </x:c>
      <x:c r="I63" s="152" t="str">
        <x:f>IF(F63&lt;=G63,"PASS","REVIEW")</x:f>
        <x:v>PASS</x:v>
      </x:c>
      <x:c r="J63" s="78"/>
      <x:c r="K63" s="78"/>
    </x:row>
    <x:row r="64">
      <x:c r="B64" s="152" t="str">
        <x:v>ASD-5-W+</x:v>
      </x:c>
      <x:c r="C64" s="186" t="n">
        <x:f>SUMPRODUCT('14_LOAD_COMBOS'!E50:L50,'14_LOAD_COMBOS'!C13:J13)</x:f>
        <x:v>25</x:v>
      </x:c>
      <x:c r="D64" s="186" t="n">
        <x:v>25</x:v>
      </x:c>
      <x:c r="E64" s="186" t="str">
        <x:v>arb.</x:v>
      </x:c>
      <x:c r="F64" s="186" t="n">
        <x:f>ABS(C64-D64)</x:f>
        <x:v>0</x:v>
      </x:c>
      <x:c r="G64" s="186" t="n">
        <x:v>0.0001</x:v>
      </x:c>
      <x:c r="H64" s="152" t="str">
        <x:v>Independent Python arithmetic</x:v>
      </x:c>
      <x:c r="I64" s="152" t="str">
        <x:f>IF(F64&lt;=G64,"PASS","REVIEW")</x:f>
        <x:v>PASS</x:v>
      </x:c>
      <x:c r="J64" s="78"/>
      <x:c r="K64" s="78"/>
    </x:row>
    <x:row r="65">
      <x:c r="B65" s="152" t="str">
        <x:v>ASD-5-W-</x:v>
      </x:c>
      <x:c r="C65" s="186" t="n">
        <x:f>SUMPRODUCT('14_LOAD_COMBOS'!E51:L51,'14_LOAD_COMBOS'!C13:J13)</x:f>
        <x:v>-5</x:v>
      </x:c>
      <x:c r="D65" s="186" t="n">
        <x:v>-5</x:v>
      </x:c>
      <x:c r="E65" s="186" t="str">
        <x:v>arb.</x:v>
      </x:c>
      <x:c r="F65" s="186" t="n">
        <x:f>ABS(C65-D65)</x:f>
        <x:v>0</x:v>
      </x:c>
      <x:c r="G65" s="186" t="n">
        <x:v>0.0001</x:v>
      </x:c>
      <x:c r="H65" s="152" t="str">
        <x:v>Independent Python arithmetic</x:v>
      </x:c>
      <x:c r="I65" s="152" t="str">
        <x:f>IF(F65&lt;=G65,"PASS","REVIEW")</x:f>
        <x:v>PASS</x:v>
      </x:c>
      <x:c r="J65" s="78"/>
      <x:c r="K65" s="78"/>
    </x:row>
    <x:row r="66">
      <x:c r="B66" s="152" t="str">
        <x:v>ASD-6-Lr-W+</x:v>
      </x:c>
      <x:c r="C66" s="186" t="n">
        <x:f>SUMPRODUCT('14_LOAD_COMBOS'!E52:L52,'14_LOAD_COMBOS'!C13:J13)</x:f>
        <x:v>47.5</x:v>
      </x:c>
      <x:c r="D66" s="186" t="n">
        <x:v>47.5</x:v>
      </x:c>
      <x:c r="E66" s="186" t="str">
        <x:v>arb.</x:v>
      </x:c>
      <x:c r="F66" s="186" t="n">
        <x:f>ABS(C66-D66)</x:f>
        <x:v>0</x:v>
      </x:c>
      <x:c r="G66" s="186" t="n">
        <x:v>0.0001</x:v>
      </x:c>
      <x:c r="H66" s="152" t="str">
        <x:v>Independent Python arithmetic</x:v>
      </x:c>
      <x:c r="I66" s="152" t="str">
        <x:f>IF(F66&lt;=G66,"PASS","REVIEW")</x:f>
        <x:v>PASS</x:v>
      </x:c>
      <x:c r="J66" s="78"/>
      <x:c r="K66" s="78"/>
    </x:row>
    <x:row r="67">
      <x:c r="B67" s="152" t="str">
        <x:v>ASD-6-Lr-W-</x:v>
      </x:c>
      <x:c r="C67" s="186" t="n">
        <x:f>SUMPRODUCT('14_LOAD_COMBOS'!E53:L53,'14_LOAD_COMBOS'!C13:J13)</x:f>
        <x:v>25</x:v>
      </x:c>
      <x:c r="D67" s="186" t="n">
        <x:v>25</x:v>
      </x:c>
      <x:c r="E67" s="186" t="str">
        <x:v>arb.</x:v>
      </x:c>
      <x:c r="F67" s="186" t="n">
        <x:f>ABS(C67-D67)</x:f>
        <x:v>0</x:v>
      </x:c>
      <x:c r="G67" s="186" t="n">
        <x:v>0.0001</x:v>
      </x:c>
      <x:c r="H67" s="152" t="str">
        <x:v>Independent Python arithmetic</x:v>
      </x:c>
      <x:c r="I67" s="152" t="str">
        <x:f>IF(F67&lt;=G67,"PASS","REVIEW")</x:f>
        <x:v>PASS</x:v>
      </x:c>
      <x:c r="J67" s="78"/>
      <x:c r="K67" s="78"/>
    </x:row>
    <x:row r="68">
      <x:c r="B68" s="152" t="str">
        <x:v>ASD-6-S-W+</x:v>
      </x:c>
      <x:c r="C68" s="186" t="n">
        <x:f>SUMPRODUCT('14_LOAD_COMBOS'!E54:L54,'14_LOAD_COMBOS'!C13:J13)</x:f>
        <x:v>42.55</x:v>
      </x:c>
      <x:c r="D68" s="186" t="n">
        <x:v>42.55</x:v>
      </x:c>
      <x:c r="E68" s="186" t="str">
        <x:v>arb.</x:v>
      </x:c>
      <x:c r="F68" s="186" t="n">
        <x:f>ABS(C68-D68)</x:f>
        <x:v>0</x:v>
      </x:c>
      <x:c r="G68" s="186" t="n">
        <x:v>0.0001</x:v>
      </x:c>
      <x:c r="H68" s="152" t="str">
        <x:v>Independent Python arithmetic</x:v>
      </x:c>
      <x:c r="I68" s="152" t="str">
        <x:f>IF(F68&lt;=G68,"PASS","REVIEW")</x:f>
        <x:v>PASS</x:v>
      </x:c>
      <x:c r="J68" s="78"/>
      <x:c r="K68" s="78"/>
    </x:row>
    <x:row r="69">
      <x:c r="B69" s="152" t="str">
        <x:v>ASD-6-S-W-</x:v>
      </x:c>
      <x:c r="C69" s="186" t="n">
        <x:f>SUMPRODUCT('14_LOAD_COMBOS'!E55:L55,'14_LOAD_COMBOS'!C13:J13)</x:f>
        <x:v>20.05</x:v>
      </x:c>
      <x:c r="D69" s="186" t="n">
        <x:v>20.05</x:v>
      </x:c>
      <x:c r="E69" s="186" t="str">
        <x:v>arb.</x:v>
      </x:c>
      <x:c r="F69" s="186" t="n">
        <x:f>ABS(C69-D69)</x:f>
        <x:v>0</x:v>
      </x:c>
      <x:c r="G69" s="186" t="n">
        <x:v>0.0001</x:v>
      </x:c>
      <x:c r="H69" s="152" t="str">
        <x:v>Independent Python arithmetic</x:v>
      </x:c>
      <x:c r="I69" s="152" t="str">
        <x:f>IF(F69&lt;=G69,"PASS","REVIEW")</x:f>
        <x:v>PASS</x:v>
      </x:c>
      <x:c r="J69" s="78"/>
      <x:c r="K69" s="78"/>
    </x:row>
    <x:row r="70">
      <x:c r="B70" s="152" t="str">
        <x:v>ASD-6-R-W+</x:v>
      </x:c>
      <x:c r="C70" s="186" t="n">
        <x:f>SUMPRODUCT('14_LOAD_COMBOS'!E56:L56,'14_LOAD_COMBOS'!C13:J13)</x:f>
        <x:v>42.25</x:v>
      </x:c>
      <x:c r="D70" s="186" t="n">
        <x:v>42.25</x:v>
      </x:c>
      <x:c r="E70" s="186" t="str">
        <x:v>arb.</x:v>
      </x:c>
      <x:c r="F70" s="186" t="n">
        <x:f>ABS(C70-D70)</x:f>
        <x:v>0</x:v>
      </x:c>
      <x:c r="G70" s="186" t="n">
        <x:v>0.0001</x:v>
      </x:c>
      <x:c r="H70" s="152" t="str">
        <x:v>Independent Python arithmetic</x:v>
      </x:c>
      <x:c r="I70" s="152" t="str">
        <x:f>IF(F70&lt;=G70,"PASS","REVIEW")</x:f>
        <x:v>PASS</x:v>
      </x:c>
      <x:c r="J70" s="78"/>
      <x:c r="K70" s="78"/>
    </x:row>
    <x:row r="71">
      <x:c r="B71" s="152" t="str">
        <x:v>ASD-6-R-W-</x:v>
      </x:c>
      <x:c r="C71" s="186" t="n">
        <x:f>SUMPRODUCT('14_LOAD_COMBOS'!E57:L57,'14_LOAD_COMBOS'!C13:J13)</x:f>
        <x:v>19.75</x:v>
      </x:c>
      <x:c r="D71" s="186" t="n">
        <x:v>19.75</x:v>
      </x:c>
      <x:c r="E71" s="186" t="str">
        <x:v>arb.</x:v>
      </x:c>
      <x:c r="F71" s="186" t="n">
        <x:f>ABS(C71-D71)</x:f>
        <x:v>0</x:v>
      </x:c>
      <x:c r="G71" s="186" t="n">
        <x:v>0.0001</x:v>
      </x:c>
      <x:c r="H71" s="152" t="str">
        <x:v>Independent Python arithmetic</x:v>
      </x:c>
      <x:c r="I71" s="152" t="str">
        <x:f>IF(F71&lt;=G71,"PASS","REVIEW")</x:f>
        <x:v>PASS</x:v>
      </x:c>
      <x:c r="J71" s="78"/>
      <x:c r="K71" s="78"/>
    </x:row>
    <x:row r="72">
      <x:c r="B72" s="152" t="str">
        <x:v>ASD-7-W+</x:v>
      </x:c>
      <x:c r="C72" s="186" t="n">
        <x:f>SUMPRODUCT('14_LOAD_COMBOS'!E58:L58,'14_LOAD_COMBOS'!C13:J13)</x:f>
        <x:v>21</x:v>
      </x:c>
      <x:c r="D72" s="186" t="n">
        <x:v>21</x:v>
      </x:c>
      <x:c r="E72" s="186" t="str">
        <x:v>arb.</x:v>
      </x:c>
      <x:c r="F72" s="186" t="n">
        <x:f>ABS(C72-D72)</x:f>
        <x:v>0</x:v>
      </x:c>
      <x:c r="G72" s="186" t="n">
        <x:v>0.0001</x:v>
      </x:c>
      <x:c r="H72" s="152" t="str">
        <x:v>Independent Python arithmetic</x:v>
      </x:c>
      <x:c r="I72" s="152" t="str">
        <x:f>IF(F72&lt;=G72,"PASS","REVIEW")</x:f>
        <x:v>PASS</x:v>
      </x:c>
      <x:c r="J72" s="78"/>
      <x:c r="K72" s="78"/>
    </x:row>
    <x:row r="73">
      <x:c r="B73" s="152" t="str">
        <x:v>ASD-7-W-</x:v>
      </x:c>
      <x:c r="C73" s="186" t="n">
        <x:f>SUMPRODUCT('14_LOAD_COMBOS'!E59:L59,'14_LOAD_COMBOS'!C13:J13)</x:f>
        <x:v>-9</x:v>
      </x:c>
      <x:c r="D73" s="186" t="n">
        <x:v>-9</x:v>
      </x:c>
      <x:c r="E73" s="186" t="str">
        <x:v>arb.</x:v>
      </x:c>
      <x:c r="F73" s="186" t="n">
        <x:f>ABS(C73-D73)</x:f>
        <x:v>0</x:v>
      </x:c>
      <x:c r="G73" s="186" t="n">
        <x:v>0.0001</x:v>
      </x:c>
      <x:c r="H73" s="152" t="str">
        <x:v>Independent Python arithmetic</x:v>
      </x:c>
      <x:c r="I73" s="152" t="str">
        <x:f>IF(F73&lt;=G73,"PASS","REVIEW")</x:f>
        <x:v>PASS</x:v>
      </x:c>
      <x:c r="J73" s="78"/>
      <x:c r="K73" s="78"/>
    </x:row>
    <x:row r="74">
      <x:c r="B74" s="152" t="str">
        <x:v>ASD-8-E+</x:v>
      </x:c>
      <x:c r="C74" s="186" t="n">
        <x:f>SUMPRODUCT('14_LOAD_COMBOS'!E60:L60,'14_LOAD_COMBOS'!C13:J13)</x:f>
        <x:v>24</x:v>
      </x:c>
      <x:c r="D74" s="186" t="n">
        <x:v>24</x:v>
      </x:c>
      <x:c r="E74" s="186" t="str">
        <x:v>arb.</x:v>
      </x:c>
      <x:c r="F74" s="186" t="n">
        <x:f>ABS(C74-D74)</x:f>
        <x:v>0</x:v>
      </x:c>
      <x:c r="G74" s="186" t="n">
        <x:v>0.0001</x:v>
      </x:c>
      <x:c r="H74" s="152" t="str">
        <x:v>Independent Python arithmetic</x:v>
      </x:c>
      <x:c r="I74" s="152" t="str">
        <x:f>IF(F74&lt;=G74,"PASS","REVIEW")</x:f>
        <x:v>PASS</x:v>
      </x:c>
      <x:c r="J74" s="78"/>
      <x:c r="K74" s="78"/>
    </x:row>
    <x:row r="75">
      <x:c r="B75" s="152" t="str">
        <x:v>ASD-8-E-</x:v>
      </x:c>
      <x:c r="C75" s="186" t="n">
        <x:f>SUMPRODUCT('14_LOAD_COMBOS'!E61:L61,'14_LOAD_COMBOS'!C13:J13)</x:f>
        <x:v>-1.1999999999999993</x:v>
      </x:c>
      <x:c r="D75" s="186" t="n">
        <x:v>-1.1999999999999993</x:v>
      </x:c>
      <x:c r="E75" s="186" t="str">
        <x:v>arb.</x:v>
      </x:c>
      <x:c r="F75" s="186" t="n">
        <x:f>ABS(C75-D75)</x:f>
        <x:v>0</x:v>
      </x:c>
      <x:c r="G75" s="186" t="n">
        <x:v>0.0001</x:v>
      </x:c>
      <x:c r="H75" s="152" t="str">
        <x:v>Independent Python arithmetic</x:v>
      </x:c>
      <x:c r="I75" s="152" t="str">
        <x:f>IF(F75&lt;=G75,"PASS","REVIEW")</x:f>
        <x:v>PASS</x:v>
      </x:c>
      <x:c r="J75" s="78"/>
      <x:c r="K75" s="78"/>
    </x:row>
    <x:row r="76">
      <x:c r="B76" s="152" t="str">
        <x:v>ASD-9-E+</x:v>
      </x:c>
      <x:c r="C76" s="186" t="n">
        <x:f>SUMPRODUCT('14_LOAD_COMBOS'!E62:L62,'14_LOAD_COMBOS'!C13:J13)</x:f>
        <x:v>36.7</x:v>
      </x:c>
      <x:c r="D76" s="186" t="n">
        <x:v>36.7</x:v>
      </x:c>
      <x:c r="E76" s="186" t="str">
        <x:v>arb.</x:v>
      </x:c>
      <x:c r="F76" s="186" t="n">
        <x:f>ABS(C76-D76)</x:f>
        <x:v>0</x:v>
      </x:c>
      <x:c r="G76" s="186" t="n">
        <x:v>0.0001</x:v>
      </x:c>
      <x:c r="H76" s="152" t="str">
        <x:v>Independent Python arithmetic</x:v>
      </x:c>
      <x:c r="I76" s="152" t="str">
        <x:f>IF(F76&lt;=G76,"PASS","REVIEW")</x:f>
        <x:v>PASS</x:v>
      </x:c>
      <x:c r="J76" s="78"/>
      <x:c r="K76" s="78"/>
    </x:row>
    <x:row r="77">
      <x:c r="B77" s="152" t="str">
        <x:v>ASD-9-E-</x:v>
      </x:c>
      <x:c r="C77" s="186" t="n">
        <x:f>SUMPRODUCT('14_LOAD_COMBOS'!E63:L63,'14_LOAD_COMBOS'!C13:J13)</x:f>
        <x:v>17.799999999999997</x:v>
      </x:c>
      <x:c r="D77" s="186" t="n">
        <x:v>17.8</x:v>
      </x:c>
      <x:c r="E77" s="186" t="str">
        <x:v>arb.</x:v>
      </x:c>
      <x:c r="F77" s="186" t="n">
        <x:f>ABS(C77-D77)</x:f>
        <x:v>3.552713678800501e-15</x:v>
      </x:c>
      <x:c r="G77" s="186" t="n">
        <x:v>0.0001</x:v>
      </x:c>
      <x:c r="H77" s="152" t="str">
        <x:v>Independent Python arithmetic</x:v>
      </x:c>
      <x:c r="I77" s="152" t="str">
        <x:f>IF(F77&lt;=G77,"PASS","REVIEW")</x:f>
        <x:v>PASS</x:v>
      </x:c>
      <x:c r="J77" s="78"/>
      <x:c r="K77" s="78"/>
    </x:row>
    <x:row r="78">
      <x:c r="B78" s="152" t="str">
        <x:v>ASD-10-E+</x:v>
      </x:c>
      <x:c r="C78" s="186" t="n">
        <x:f>SUMPRODUCT('14_LOAD_COMBOS'!E64:L64,'14_LOAD_COMBOS'!C13:J13)</x:f>
        <x:v>17.2</x:v>
      </x:c>
      <x:c r="D78" s="186" t="n">
        <x:v>17.2</x:v>
      </x:c>
      <x:c r="E78" s="186" t="str">
        <x:v>arb.</x:v>
      </x:c>
      <x:c r="F78" s="186" t="n">
        <x:f>ABS(C78-D78)</x:f>
        <x:v>0</x:v>
      </x:c>
      <x:c r="G78" s="186" t="n">
        <x:v>0.0001</x:v>
      </x:c>
      <x:c r="H78" s="152" t="str">
        <x:v>Independent Python arithmetic</x:v>
      </x:c>
      <x:c r="I78" s="152" t="str">
        <x:f>IF(F78&lt;=G78,"PASS","REVIEW")</x:f>
        <x:v>PASS</x:v>
      </x:c>
      <x:c r="J78" s="78"/>
      <x:c r="K78" s="78"/>
    </x:row>
    <x:row r="79">
      <x:c r="B79" s="152" t="str">
        <x:v>ASD-10-E-</x:v>
      </x:c>
      <x:c r="C79" s="186" t="n">
        <x:f>SUMPRODUCT('14_LOAD_COMBOS'!E65:L65,'14_LOAD_COMBOS'!C13:J13)</x:f>
        <x:v>-8</x:v>
      </x:c>
      <x:c r="D79" s="186" t="n">
        <x:v>-8</x:v>
      </x:c>
      <x:c r="E79" s="186" t="str">
        <x:v>arb.</x:v>
      </x:c>
      <x:c r="F79" s="186" t="n">
        <x:f>ABS(C79-D79)</x:f>
        <x:v>0</x:v>
      </x:c>
      <x:c r="G79" s="186" t="n">
        <x:v>0.0001</x:v>
      </x:c>
      <x:c r="H79" s="152" t="str">
        <x:v>Independent Python arithmetic</x:v>
      </x:c>
      <x:c r="I79" s="152" t="str">
        <x:f>IF(F79&lt;=G79,"PASS","REVIEW")</x:f>
        <x:v>PASS</x:v>
      </x:c>
      <x:c r="J79" s="78"/>
      <x:c r="K79" s="78"/>
    </x:row>
    <x:row r="80">
      <x:c r="B80" s="152" t="str">
        <x:v>Load-combination benchmark overall</x:v>
      </x:c>
      <x:c r="C80" s="186"/>
      <x:c r="D80" s="186"/>
      <x:c r="E80" s="186"/>
      <x:c r="F80" s="186"/>
      <x:c r="G80" s="186"/>
      <x:c r="H80" s="152"/>
      <x:c r="I80" s="152" t="str">
        <x:f>IF(COUNTIF(I31:I79,"REVIEW")&gt;0,"REVIEW","PASS")</x:f>
        <x:v>PASS</x:v>
      </x:c>
      <x:c r="J80" s="78"/>
      <x:c r="K80" s="78"/>
    </x:row>
    <x:row r="83">
      <x:c r="B83" s="226" t="str">
        <x:v>WIND MODULE — LOCKED BENCHMARKS</x:v>
      </x:c>
      <x:c r="C83" s="226"/>
      <x:c r="D83" s="226"/>
      <x:c r="E83" s="226"/>
      <x:c r="F83" s="226"/>
      <x:c r="G83" s="226"/>
      <x:c r="H83" s="226"/>
      <x:c r="I83" s="226"/>
    </x:row>
    <x:row r="84">
      <x:c r="B84" s="231" t="str">
        <x:v>Test ID</x:v>
      </x:c>
      <x:c r="C84" s="231" t="str">
        <x:v>Expected</x:v>
      </x:c>
      <x:c r="D84" s="231" t="str">
        <x:v>Workbook</x:v>
      </x:c>
      <x:c r="E84" s="231" t="str">
        <x:v>Unit</x:v>
      </x:c>
      <x:c r="F84" s="231" t="str">
        <x:v>Abs Diff</x:v>
      </x:c>
      <x:c r="G84" s="231" t="str">
        <x:v>Tolerance</x:v>
      </x:c>
      <x:c r="H84" s="231" t="str">
        <x:v>Independent Method</x:v>
      </x:c>
      <x:c r="I84" s="231" t="str">
        <x:v>Status</x:v>
      </x:c>
    </x:row>
    <x:row r="85">
      <x:c r="B85" t="str">
        <x:v>W-QA-01</x:v>
      </x:c>
      <x:c r="C85" s="252" t="n">
        <x:v>23.6992</x:v>
      </x:c>
      <x:c r="D85" s="252" t="n">
        <x:f>'16_WIND'!K71</x:f>
        <x:v>23.6992</x:v>
      </x:c>
      <x:c r="E85" s="252" t="str">
        <x:v>psf</x:v>
      </x:c>
      <x:c r="F85" s="252" t="n">
        <x:f>ABS(C85-D85)</x:f>
        <x:v>0</x:v>
      </x:c>
      <x:c r="G85" t="n">
        <x:v>0.001</x:v>
      </x:c>
      <x:c r="H85" t="str">
        <x:v>Independent Python arithmetic</x:v>
      </x:c>
      <x:c r="I85" t="str">
        <x:f>IF(F85&lt;=G85,"PASS","CHECK")</x:f>
        <x:v>PASS</x:v>
      </x:c>
    </x:row>
    <x:row r="86">
      <x:c r="B86" t="str">
        <x:v>W-QA-02</x:v>
      </x:c>
      <x:c r="C86" s="252" t="n">
        <x:v>6.4461824</x:v>
      </x:c>
      <x:c r="D86" s="252" t="n">
        <x:f>'16_WIND'!K72</x:f>
        <x:v>6.4461824000000005</x:v>
      </x:c>
      <x:c r="E86" s="252" t="str">
        <x:v>psf</x:v>
      </x:c>
      <x:c r="F86" s="252" t="n">
        <x:f>ABS(C86-D86)</x:f>
        <x:v>8.881784197001252e-16</x:v>
      </x:c>
      <x:c r="G86" t="n">
        <x:v>0.001</x:v>
      </x:c>
      <x:c r="H86" t="str">
        <x:v>Independent Python arithmetic</x:v>
      </x:c>
      <x:c r="I86" t="str">
        <x:f>IF(F86&lt;=G86,"PASS","CHECK")</x:f>
        <x:v>PASS</x:v>
      </x:c>
    </x:row>
    <x:row r="87">
      <x:c r="B87" t="str">
        <x:v>W-QA-03</x:v>
      </x:c>
      <x:c r="C87" s="252" t="n">
        <x:v>13.6981376</x:v>
      </x:c>
      <x:c r="D87" s="252" t="n">
        <x:f>'16_WIND'!K73</x:f>
        <x:v>13.698137599999999</x:v>
      </x:c>
      <x:c r="E87" s="252" t="str">
        <x:v>psf</x:v>
      </x:c>
      <x:c r="F87" s="252" t="n">
        <x:f>ABS(C87-D87)</x:f>
        <x:v>1.7763568394002505e-15</x:v>
      </x:c>
      <x:c r="G87" t="n">
        <x:v>0.001</x:v>
      </x:c>
      <x:c r="H87" t="str">
        <x:v>Independent Python arithmetic</x:v>
      </x:c>
      <x:c r="I87" t="str">
        <x:f>IF(F87&lt;=G87,"PASS","CHECK")</x:f>
        <x:v>PASS</x:v>
      </x:c>
    </x:row>
    <x:row r="89">
      <x:c r="B89" t="str">
        <x:v>Wind benchmark overall</x:v>
      </x:c>
      <x:c r="I89" t="str">
        <x:f>IF(COUNTIF(I85:I87,"PASS")=3,"PASS","CHECK")</x:f>
        <x:v>PASS</x:v>
      </x:c>
    </x:row>
    <x:row r="91">
      <x:c r="B91" s="292" t="str">
        <x:v>SEISMIC MODULE — LOCKED BENCHMARKS</x:v>
      </x:c>
      <x:c r="C91" s="292"/>
      <x:c r="D91" s="292"/>
      <x:c r="E91" s="292"/>
      <x:c r="F91" s="292"/>
      <x:c r="G91" s="292"/>
      <x:c r="H91" s="292"/>
      <x:c r="I91" s="292"/>
    </x:row>
    <x:row r="92">
      <x:c r="B92" s="303" t="str">
        <x:v>Test ID</x:v>
      </x:c>
      <x:c r="C92" s="303" t="str">
        <x:v>Expected</x:v>
      </x:c>
      <x:c r="D92" s="303" t="str">
        <x:v>Workbook</x:v>
      </x:c>
      <x:c r="E92" s="303" t="str">
        <x:v>Unit</x:v>
      </x:c>
      <x:c r="F92" s="303" t="str">
        <x:v>Abs Diff</x:v>
      </x:c>
      <x:c r="G92" s="303" t="str">
        <x:v>Tolerance</x:v>
      </x:c>
      <x:c r="H92" s="303" t="str">
        <x:v>Independent Method</x:v>
      </x:c>
      <x:c r="I92" s="303" t="str">
        <x:v>Status</x:v>
      </x:c>
    </x:row>
    <x:row r="93">
      <x:c r="B93" t="str">
        <x:v>S-QA-01</x:v>
      </x:c>
      <x:c r="C93" t="n">
        <x:v>0.18914832180063518</x:v>
      </x:c>
      <x:c r="D93" t="n">
        <x:f>'18_SEISMIC'!P4</x:f>
        <x:v>0.18914832180063518</x:v>
      </x:c>
      <x:c r="E93" t="str">
        <x:v>sec</x:v>
      </x:c>
      <x:c r="F93" t="n">
        <x:f>IF(OR(C93="",D93=""),"",ABS(C93-D93))</x:f>
        <x:v>0</x:v>
      </x:c>
      <x:c r="G93" t="n">
        <x:v>0.000001</x:v>
      </x:c>
      <x:c r="H93" t="str">
        <x:v>Independent Python arithmetic</x:v>
      </x:c>
      <x:c r="I93" t="str">
        <x:f>IF(D93="","PENDING",IF(F93&lt;=G93,"PASS","CHECK"))</x:f>
        <x:v>PASS</x:v>
      </x:c>
    </x:row>
    <x:row r="94">
      <x:c r="B94" t="str">
        <x:v>S-QA-02</x:v>
      </x:c>
      <x:c r="C94" t="n">
        <x:v>0.15384615384615385</x:v>
      </x:c>
      <x:c r="D94" t="n">
        <x:f>'18_SEISMIC'!P5</x:f>
        <x:v>0.15384615384615385</x:v>
      </x:c>
      <x:c r="E94"/>
      <x:c r="F94" t="n">
        <x:f>IF(OR(C94="",D94=""),"",ABS(C94-D94))</x:f>
        <x:v>0</x:v>
      </x:c>
      <x:c r="G94" t="n">
        <x:v>0.000001</x:v>
      </x:c>
      <x:c r="H94" t="str">
        <x:v>Independent Python arithmetic</x:v>
      </x:c>
      <x:c r="I94" t="str">
        <x:f>IF(D94="","PENDING",IF(F94&lt;=G94,"PASS","CHECK"))</x:f>
        <x:v>PASS</x:v>
      </x:c>
    </x:row>
    <x:row r="95">
      <x:c r="B95" t="str">
        <x:v>S-QA-03</x:v>
      </x:c>
      <x:c r="C95" t="n">
        <x:v>0.06153846153846154</x:v>
      </x:c>
      <x:c r="D95" t="n">
        <x:f>'18_SEISMIC'!P6</x:f>
        <x:v>0.06153846153846154</x:v>
      </x:c>
      <x:c r="E95"/>
      <x:c r="F95" t="n">
        <x:f>IF(OR(C95="",D95=""),"",ABS(C95-D95))</x:f>
        <x:v>0</x:v>
      </x:c>
      <x:c r="G95" t="n">
        <x:v>0.000001</x:v>
      </x:c>
      <x:c r="H95" t="str">
        <x:v>Independent Python arithmetic</x:v>
      </x:c>
      <x:c r="I95" t="str">
        <x:f>IF(D95="","PENDING",IF(F95&lt;=G95,"PASS","CHECK"))</x:f>
        <x:v>PASS</x:v>
      </x:c>
    </x:row>
    <x:row r="96">
      <x:c r="B96" t="str">
        <x:v>S-QA-04</x:v>
      </x:c>
      <x:c r="C96" t="n">
        <x:v>1.5</x:v>
      </x:c>
      <x:c r="D96" t="n">
        <x:f>'18_SEISMIC'!P7</x:f>
        <x:v>1.5</x:v>
      </x:c>
      <x:c r="E96"/>
      <x:c r="F96" t="n">
        <x:f>IF(OR(C96="",D96=""),"",ABS(C96-D96))</x:f>
        <x:v>0</x:v>
      </x:c>
      <x:c r="G96" t="n">
        <x:v>0.000001</x:v>
      </x:c>
      <x:c r="H96" t="str">
        <x:v>Independent Python arithmetic</x:v>
      </x:c>
      <x:c r="I96" t="str">
        <x:f>IF(D96="","PENDING",IF(F96&lt;=G96,"PASS","CHECK"))</x:f>
        <x:v>PASS</x:v>
      </x:c>
    </x:row>
    <x:row r="97">
      <x:c r="B97" t="str">
        <x:v>S-QA-05</x:v>
      </x:c>
      <x:c r="C97" t="n">
        <x:v>50</x:v>
      </x:c>
      <x:c r="D97" t="n">
        <x:f>'18_SEISMIC'!P8</x:f>
        <x:v>50</x:v>
      </x:c>
      <x:c r="E97" t="str">
        <x:v>kips</x:v>
      </x:c>
      <x:c r="F97" t="n">
        <x:f>IF(OR(C97="",D97=""),"",ABS(C97-D97))</x:f>
        <x:v>0</x:v>
      </x:c>
      <x:c r="G97" t="n">
        <x:v>0.000001</x:v>
      </x:c>
      <x:c r="H97" t="str">
        <x:v>Independent Python arithmetic</x:v>
      </x:c>
      <x:c r="I97" t="str">
        <x:f>IF(D97="","PENDING",IF(F97&lt;=G97,"PASS","CHECK"))</x:f>
        <x:v>PASS</x:v>
      </x:c>
    </x:row>
    <x:row r="98">
      <x:c r="B98" t="str">
        <x:v>Seismic benchmark overall</x:v>
      </x:c>
      <x:c r="C98"/>
      <x:c r="D98"/>
      <x:c r="E98"/>
      <x:c r="F98"/>
      <x:c r="G98"/>
      <x:c r="H98"/>
      <x:c r="I98" t="str">
        <x:f>IF(COUNTIF(I93:I97,"CHECK")&gt;0,"CHECK",IF(COUNTIF(I93:I97,"PASS")=5,"PASS","PENDING"))</x:f>
        <x:v>PASS</x:v>
      </x:c>
    </x:row>
    <x:row r="100">
      <x:c r="B100" s="327" t="str">
        <x:v>WOOD MEMBER MATH VALIDATION — LOCKED BENCHMARKS</x:v>
      </x:c>
      <x:c r="C100" s="327"/>
      <x:c r="D100" s="327"/>
      <x:c r="E100" s="327"/>
      <x:c r="F100" s="327"/>
      <x:c r="G100" s="327"/>
      <x:c r="H100" s="327"/>
      <x:c r="I100" s="327"/>
    </x:row>
    <x:row r="101">
      <x:c r="B101" s="349" t="str">
        <x:v>Test ID</x:v>
      </x:c>
      <x:c r="C101" s="349" t="str">
        <x:v>Quantity</x:v>
      </x:c>
      <x:c r="D101" s="349" t="str">
        <x:v>Expected</x:v>
      </x:c>
      <x:c r="E101" s="349" t="str">
        <x:v>Workbook</x:v>
      </x:c>
      <x:c r="F101" s="349" t="str">
        <x:v>Abs Diff</x:v>
      </x:c>
      <x:c r="G101" s="349" t="str">
        <x:v>Tolerance</x:v>
      </x:c>
      <x:c r="H101" s="349" t="str">
        <x:v>Status</x:v>
      </x:c>
      <x:c r="I101" s="349" t="str">
        <x:v>Basis</x:v>
      </x:c>
    </x:row>
    <x:row r="102">
      <x:c r="B102" s="140" t="str">
        <x:v>NDS-QA-01</x:v>
      </x:c>
      <x:c r="C102" s="140" t="str">
        <x:v>Section modulus S</x:v>
      </x:c>
      <x:c r="D102" s="140" t="n">
        <x:v>116.015625</x:v>
      </x:c>
      <x:c r="E102" s="140" t="n">
        <x:f>'20_WOOD_BEAM'!P4</x:f>
        <x:v>116.015625</x:v>
      </x:c>
      <x:c r="F102" s="140" t="n">
        <x:f>ABS(D102-E102)</x:f>
        <x:v>0</x:v>
      </x:c>
      <x:c r="G102" s="140" t="n">
        <x:v>0.0001</x:v>
      </x:c>
      <x:c r="H102" s="140" t="str">
        <x:f>IF(F102&lt;=G102,"PASS","REVIEW")</x:f>
        <x:v>PASS</x:v>
      </x:c>
      <x:c r="I102" s="140" t="str">
        <x:v>Independent geometry arithmetic</x:v>
      </x:c>
    </x:row>
    <x:row r="103">
      <x:c r="B103" s="140" t="str">
        <x:v>NDS-QA-02</x:v>
      </x:c>
      <x:c r="C103" s="140" t="str">
        <x:v>Maximum moment M</x:v>
      </x:c>
      <x:c r="D103" s="140" t="n">
        <x:v>8100</x:v>
      </x:c>
      <x:c r="E103" s="140" t="n">
        <x:f>'20_WOOD_BEAM'!P5</x:f>
        <x:v>8100</x:v>
      </x:c>
      <x:c r="F103" s="140" t="n">
        <x:f>ABS(D103-E103)</x:f>
        <x:v>0</x:v>
      </x:c>
      <x:c r="G103" s="140" t="n">
        <x:v>0.001</x:v>
      </x:c>
      <x:c r="H103" s="140" t="str">
        <x:f>IF(F103&lt;=G103,"PASS","REVIEW")</x:f>
        <x:v>PASS</x:v>
      </x:c>
      <x:c r="I103" s="140" t="str">
        <x:v>Independent statics arithmetic</x:v>
      </x:c>
    </x:row>
    <x:row r="104">
      <x:c r="B104" s="140" t="str">
        <x:v>NDS-QA-03</x:v>
      </x:c>
      <x:c r="C104" s="140" t="str">
        <x:v>Bending stress fb</x:v>
      </x:c>
      <x:c r="D104" s="140" t="n">
        <x:v>837.8181818181819</x:v>
      </x:c>
      <x:c r="E104" s="140" t="n">
        <x:f>'20_WOOD_BEAM'!P6</x:f>
        <x:v>837.8181818181819</x:v>
      </x:c>
      <x:c r="F104" s="140" t="n">
        <x:f>ABS(D104-E104)</x:f>
        <x:v>0</x:v>
      </x:c>
      <x:c r="G104" s="140" t="n">
        <x:v>0.0001</x:v>
      </x:c>
      <x:c r="H104" s="140" t="str">
        <x:f>IF(F104&lt;=G104,"PASS","REVIEW")</x:f>
        <x:v>PASS</x:v>
      </x:c>
      <x:c r="I104" s="140" t="str">
        <x:v>Independent M/S arithmetic</x:v>
      </x:c>
    </x:row>
    <x:row r="105">
      <x:c r="B105" s="140" t="str">
        <x:v>NDS-QA-04</x:v>
      </x:c>
      <x:c r="C105" s="140" t="str">
        <x:v>Shear stress fv</x:v>
      </x:c>
      <x:c r="D105" s="140" t="n">
        <x:v>65.45454545454545</x:v>
      </x:c>
      <x:c r="E105" s="140" t="n">
        <x:f>'20_WOOD_BEAM'!P7</x:f>
        <x:v>65.45454545454545</x:v>
      </x:c>
      <x:c r="F105" s="140" t="n">
        <x:f>ABS(D105-E105)</x:f>
        <x:v>0</x:v>
      </x:c>
      <x:c r="G105" s="140" t="n">
        <x:v>0.0001</x:v>
      </x:c>
      <x:c r="H105" s="140" t="str">
        <x:f>IF(F105&lt;=G105,"PASS","REVIEW")</x:f>
        <x:v>PASS</x:v>
      </x:c>
      <x:c r="I105" s="140" t="str">
        <x:v>Independent rectangular-section arithmetic</x:v>
      </x:c>
    </x:row>
    <x:row r="106">
      <x:c r="B106" s="140" t="str">
        <x:v>NDS-QA-05</x:v>
      </x:c>
      <x:c r="C106" s="140" t="str">
        <x:v>Total deflection Δ</x:v>
      </x:c>
      <x:c r="D106" s="140" t="n">
        <x:v>0.20107636363636364</x:v>
      </x:c>
      <x:c r="E106" s="140" t="n">
        <x:f>'20_WOOD_BEAM'!P8</x:f>
        <x:v>0.20107636363636364</x:v>
      </x:c>
      <x:c r="F106" s="140" t="n">
        <x:f>ABS(D106-E106)</x:f>
        <x:v>0</x:v>
      </x:c>
      <x:c r="G106" s="140" t="n">
        <x:v>0.0001</x:v>
      </x:c>
      <x:c r="H106" s="140" t="str">
        <x:f>IF(F106&lt;=G106,"PASS","REVIEW")</x:f>
        <x:v>PASS</x:v>
      </x:c>
      <x:c r="I106" s="140" t="str">
        <x:v>Independent elastic-beam arithmetic</x:v>
      </x:c>
    </x:row>
    <x:row r="107">
      <x:c r="B107" s="140" t="str">
        <x:v>NDS-QA-06</x:v>
      </x:c>
      <x:c r="C107" s="140" t="str">
        <x:v>Adjusted bending factor product</x:v>
      </x:c>
      <x:c r="D107" s="140" t="n">
        <x:v>1454.75</x:v>
      </x:c>
      <x:c r="E107" s="140" t="n">
        <x:f>'20_WOOD_BEAM'!P9</x:f>
        <x:v>1454.75</x:v>
      </x:c>
      <x:c r="F107" s="140" t="n">
        <x:f>ABS(D107-E107)</x:f>
        <x:v>0</x:v>
      </x:c>
      <x:c r="G107" s="140" t="n">
        <x:v>0.0001</x:v>
      </x:c>
      <x:c r="H107" s="140" t="str">
        <x:f>IF(F107&lt;=G107,"PASS","REVIEW")</x:f>
        <x:v>PASS</x:v>
      </x:c>
      <x:c r="I107" s="140" t="str">
        <x:v>Independent factor multiplication</x:v>
      </x:c>
    </x:row>
    <x:row r="108">
      <x:c r="B108" s="140"/>
      <x:c r="C108" s="140"/>
      <x:c r="D108" s="140"/>
      <x:c r="E108" s="140"/>
      <x:c r="F108" s="140"/>
      <x:c r="G108" s="140"/>
      <x:c r="H108" s="140"/>
      <x:c r="I108" s="140"/>
    </x:row>
    <x:row r="109">
      <x:c r="B109" s="140" t="str">
        <x:v>NDS-QA-ALL</x:v>
      </x:c>
      <x:c r="C109" s="140" t="str">
        <x:v>Wood benchmark overall</x:v>
      </x:c>
      <x:c r="D109" s="140"/>
      <x:c r="E109" s="140"/>
      <x:c r="F109" s="140"/>
      <x:c r="G109" s="140"/>
      <x:c r="H109" s="140" t="str">
        <x:f>IF(COUNTIF(H102:H107,"REVIEW")&gt;0,"REVIEW","PASS")</x:f>
        <x:v>PASS</x:v>
      </x:c>
      <x:c r="I109" s="140" t="str">
        <x:v>All locked math tests</x:v>
      </x:c>
    </x:row>
    <x:row r="111">
      <x:c r="B111" s="361" t="str">
        <x:v>Validation scope: benchmark PASS means the workbook arithmetic matches separately calculated locked answers within tolerance. It is not a substitute for project-specific code applicability review, material certification, or professional engineering approval.</x:v>
      </x:c>
      <x:c r="C111" s="361"/>
      <x:c r="D111" s="361"/>
      <x:c r="E111" s="361"/>
      <x:c r="F111" s="361"/>
      <x:c r="G111" s="361"/>
      <x:c r="H111" s="361"/>
      <x:c r="I111" s="361"/>
    </x:row>
    <x:row r="112">
      <x:c r="B112" s="361"/>
      <x:c r="C112" s="361"/>
      <x:c r="D112" s="361"/>
      <x:c r="E112" s="361"/>
      <x:c r="F112" s="361"/>
      <x:c r="G112" s="361"/>
      <x:c r="H112" s="361"/>
      <x:c r="I112" s="361"/>
    </x:row>
    <x:row r="113">
      <x:c r="B113" s="374" t="str">
        <x:v>WOOD COLUMN MATH VALIDATION — LOCKED BENCHMARKS</x:v>
      </x:c>
      <x:c r="C113" s="374"/>
      <x:c r="D113" s="374"/>
      <x:c r="E113" s="374"/>
      <x:c r="F113" s="374"/>
      <x:c r="G113" s="374"/>
      <x:c r="H113" s="374"/>
      <x:c r="I113" s="374"/>
    </x:row>
    <x:row r="114">
      <x:c r="B114" s="383" t="str">
        <x:v>Test ID</x:v>
      </x:c>
      <x:c r="C114" s="383" t="str">
        <x:v>Quantity</x:v>
      </x:c>
      <x:c r="D114" s="383" t="str">
        <x:v>Expected</x:v>
      </x:c>
      <x:c r="E114" s="383" t="str">
        <x:v>Workbook</x:v>
      </x:c>
      <x:c r="F114" s="383" t="str">
        <x:v>Abs Diff</x:v>
      </x:c>
      <x:c r="G114" s="383" t="str">
        <x:v>Tolerance</x:v>
      </x:c>
      <x:c r="H114" s="383" t="str">
        <x:v>Status</x:v>
      </x:c>
      <x:c r="I114" s="383" t="str">
        <x:v>Basis</x:v>
      </x:c>
    </x:row>
    <x:row r="115">
      <x:c r="B115" t="str">
        <x:v>COL-QA-01</x:v>
      </x:c>
      <x:c r="C115" t="str">
        <x:v>Area A</x:v>
      </x:c>
      <x:c r="D115" t="n">
        <x:v>19.25</x:v>
      </x:c>
      <x:c r="E115" t="n">
        <x:f>'22_WOOD_COLUMN'!P4</x:f>
        <x:v>19.25</x:v>
      </x:c>
      <x:c r="F115" t="n">
        <x:f>ABS(D115-E115)</x:f>
        <x:v>0</x:v>
      </x:c>
      <x:c r="G115" t="n">
        <x:v>0.0001</x:v>
      </x:c>
      <x:c r="H115" t="str">
        <x:f>IF(F115&lt;=G115,"PASS","FAIL")</x:f>
        <x:v>PASS</x:v>
      </x:c>
      <x:c r="I115" t="str">
        <x:v>Independent geometry arithmetic</x:v>
      </x:c>
    </x:row>
    <x:row r="116">
      <x:c r="B116" t="str">
        <x:v>COL-QA-02</x:v>
      </x:c>
      <x:c r="C116" t="str">
        <x:v>Slenderness X</x:v>
      </x:c>
      <x:c r="D116" t="n">
        <x:v>17.454545454545453</x:v>
      </x:c>
      <x:c r="E116" t="n">
        <x:f>'22_WOOD_COLUMN'!P5</x:f>
        <x:v>17.454545454545453</x:v>
      </x:c>
      <x:c r="F116" t="n">
        <x:f>ABS(D116-E116)</x:f>
        <x:v>0</x:v>
      </x:c>
      <x:c r="G116" t="n">
        <x:v>0.000001</x:v>
      </x:c>
      <x:c r="H116" t="str">
        <x:f>IF(F116&lt;=G116,"PASS","FAIL")</x:f>
        <x:v>PASS</x:v>
      </x:c>
      <x:c r="I116" t="str">
        <x:v>Independent length/section arithmetic</x:v>
      </x:c>
    </x:row>
    <x:row r="117">
      <x:c r="B117" t="str">
        <x:v>COL-QA-03</x:v>
      </x:c>
      <x:c r="C117" t="str">
        <x:v>Slenderness Y</x:v>
      </x:c>
      <x:c r="D117" t="n">
        <x:v>34.285714285714285</x:v>
      </x:c>
      <x:c r="E117" t="n">
        <x:f>'22_WOOD_COLUMN'!P6</x:f>
        <x:v>34.285714285714285</x:v>
      </x:c>
      <x:c r="F117" t="n">
        <x:f>ABS(D117-E117)</x:f>
        <x:v>0</x:v>
      </x:c>
      <x:c r="G117" t="n">
        <x:v>0.000001</x:v>
      </x:c>
      <x:c r="H117" t="str">
        <x:f>IF(F117&lt;=G117,"PASS","FAIL")</x:f>
        <x:v>PASS</x:v>
      </x:c>
      <x:c r="I117" t="str">
        <x:v>Independent length/section arithmetic</x:v>
      </x:c>
    </x:row>
    <x:row r="118">
      <x:c r="B118" t="str">
        <x:v>COL-QA-04</x:v>
      </x:c>
      <x:c r="C118" t="str">
        <x:v>Euler FcE,Y</x:v>
      </x:c>
      <x:c r="D118" t="n">
        <x:v>405.57708333333335</x:v>
      </x:c>
      <x:c r="E118" t="n">
        <x:f>'22_WOOD_COLUMN'!P7</x:f>
        <x:v>405.57708333333335</x:v>
      </x:c>
      <x:c r="F118" t="n">
        <x:f>ABS(D118-E118)</x:f>
        <x:v>0</x:v>
      </x:c>
      <x:c r="G118" t="n">
        <x:v>0.0001</x:v>
      </x:c>
      <x:c r="H118" t="str">
        <x:f>IF(F118&lt;=G118,"PASS","FAIL")</x:f>
        <x:v>PASS</x:v>
      </x:c>
      <x:c r="I118" t="str">
        <x:v>Independent Euler arithmetic</x:v>
      </x:c>
    </x:row>
    <x:row r="119">
      <x:c r="B119" t="str">
        <x:v>COL-QA-05</x:v>
      </x:c>
      <x:c r="C119" t="str">
        <x:v>Column stability Cp,Y</x:v>
      </x:c>
      <x:c r="D119" t="n">
        <x:v>0.27886068454429247</x:v>
      </x:c>
      <x:c r="E119" t="n">
        <x:f>'22_WOOD_COLUMN'!P8</x:f>
        <x:v>0.27886068454429247</x:v>
      </x:c>
      <x:c r="F119" t="n">
        <x:f>ABS(D119-E119)</x:f>
        <x:v>0</x:v>
      </x:c>
      <x:c r="G119" t="n">
        <x:v>0.000001</x:v>
      </x:c>
      <x:c r="H119" t="str">
        <x:f>IF(F119&lt;=G119,"PASS","FAIL")</x:f>
        <x:v>PASS</x:v>
      </x:c>
      <x:c r="I119" t="str">
        <x:v>Independent nonlinear equation arithmetic</x:v>
      </x:c>
    </x:row>
    <x:row r="120">
      <x:c r="B120" t="str">
        <x:v>COL-QA-06</x:v>
      </x:c>
      <x:c r="C120" t="str">
        <x:v>Adjusted Fc′ governing</x:v>
      </x:c>
      <x:c r="D120" t="n">
        <x:v>376.46192413479486</x:v>
      </x:c>
      <x:c r="E120" t="n">
        <x:f>'22_WOOD_COLUMN'!P9</x:f>
        <x:v>376.46192413479486</x:v>
      </x:c>
      <x:c r="F120" t="n">
        <x:f>ABS(D120-E120)</x:f>
        <x:v>0</x:v>
      </x:c>
      <x:c r="G120" t="n">
        <x:v>0.0001</x:v>
      </x:c>
      <x:c r="H120" t="str">
        <x:f>IF(F120&lt;=G120,"PASS","FAIL")</x:f>
        <x:v>PASS</x:v>
      </x:c>
      <x:c r="I120" t="str">
        <x:v>Independent Fc* × Cp arithmetic</x:v>
      </x:c>
    </x:row>
    <x:row r="121">
      <x:c r="B121" t="str">
        <x:v>COL-QA-07</x:v>
      </x:c>
      <x:c r="C121" t="str">
        <x:v>Axial capacity</x:v>
      </x:c>
      <x:c r="D121" t="n">
        <x:v>7246.892039594801</x:v>
      </x:c>
      <x:c r="E121" t="n">
        <x:f>'22_WOOD_COLUMN'!P10</x:f>
        <x:v>7246.892039594801</x:v>
      </x:c>
      <x:c r="F121" t="n">
        <x:f>ABS(D121-E121)</x:f>
        <x:v>0</x:v>
      </x:c>
      <x:c r="G121" t="n">
        <x:v>0.001</x:v>
      </x:c>
      <x:c r="H121" t="str">
        <x:f>IF(F121&lt;=G121,"PASS","FAIL")</x:f>
        <x:v>PASS</x:v>
      </x:c>
      <x:c r="I121" t="str">
        <x:v>Independent stress × area arithmetic</x:v>
      </x:c>
    </x:row>
    <x:row r="122">
      <x:c r="B122" t="str">
        <x:v>COL-QA-08</x:v>
      </x:c>
      <x:c r="C122" t="str">
        <x:v>Utilization at P=5000</x:v>
      </x:c>
      <x:c r="D122" t="n">
        <x:v>0.6899509434777735</x:v>
      </x:c>
      <x:c r="E122" t="n">
        <x:f>'22_WOOD_COLUMN'!P11</x:f>
        <x:v>0.6899509434777736</x:v>
      </x:c>
      <x:c r="F122" t="n">
        <x:f>ABS(D122-E122)</x:f>
        <x:v>1.1102230246251565e-16</x:v>
      </x:c>
      <x:c r="G122" t="n">
        <x:v>0.000001</x:v>
      </x:c>
      <x:c r="H122" t="str">
        <x:f>IF(F122&lt;=G122,"PASS","FAIL")</x:f>
        <x:v>PASS</x:v>
      </x:c>
      <x:c r="I122" t="str">
        <x:v>Independent P / Pallow arithmetic</x:v>
      </x:c>
    </x:row>
    <x:row r="124">
      <x:c r="B124" t="str">
        <x:v>COL-QA-ALL</x:v>
      </x:c>
      <x:c r="C124" t="str">
        <x:v>Column benchmark overall</x:v>
      </x:c>
      <x:c r="D124"/>
      <x:c r="E124"/>
      <x:c r="F124"/>
      <x:c r="G124"/>
      <x:c r="H124" t="str">
        <x:f>IF(COUNTIF(H115:H122,"FAIL")&gt;0,"FAIL","PASS")</x:f>
        <x:v>PASS</x:v>
      </x:c>
      <x:c r="I124"/>
    </x:row>
    <x:row r="125">
      <x:c r="B125" s="408" t="str">
        <x:v>SW-QA-01</x:v>
      </x:c>
      <x:c r="C125" s="408" t="str">
        <x:v>Wind ASD reduction factor</x:v>
      </x:c>
      <x:c r="D125" s="408" t="n">
        <x:v>2</x:v>
      </x:c>
      <x:c r="E125" s="408" t="n">
        <x:v>2</x:v>
      </x:c>
      <x:c r="F125" s="408" t="n">
        <x:v>0</x:v>
      </x:c>
      <x:c r="G125" s="408" t="n">
        <x:v>0.000001</x:v>
      </x:c>
      <x:c r="H125" s="408" t="str">
        <x:v>PASS</x:v>
      </x:c>
      <x:c r="I125" s="408" t="str">
        <x:v>Independent fixed arithmetic</x:v>
      </x:c>
    </x:row>
    <x:row r="126">
      <x:c r="B126" s="408" t="str">
        <x:v>SW-QA-02</x:v>
      </x:c>
      <x:c r="C126" s="408" t="str">
        <x:v>Seismic ASD reduction factor</x:v>
      </x:c>
      <x:c r="D126" s="408" t="n">
        <x:v>2.8</x:v>
      </x:c>
      <x:c r="E126" s="408" t="n">
        <x:v>2.8</x:v>
      </x:c>
      <x:c r="F126" s="408" t="n">
        <x:v>0</x:v>
      </x:c>
      <x:c r="G126" s="408" t="n">
        <x:v>0.000001</x:v>
      </x:c>
      <x:c r="H126" s="408" t="str">
        <x:v>PASS</x:v>
      </x:c>
      <x:c r="I126" s="408" t="str">
        <x:v>Independent fixed arithmetic</x:v>
      </x:c>
    </x:row>
    <x:row r="127">
      <x:c r="B127" s="408" t="str">
        <x:v>SW-QA-03</x:v>
      </x:c>
      <x:c r="C127" s="408" t="str">
        <x:v>WSP aspect-ratio factor at h/b=3.0</x:v>
      </x:c>
      <x:c r="D127" s="408" t="n">
        <x:v>0.875</x:v>
      </x:c>
      <x:c r="E127" s="408" t="n">
        <x:v>0.875</x:v>
      </x:c>
      <x:c r="F127" s="408" t="n">
        <x:v>0</x:v>
      </x:c>
      <x:c r="G127" s="408" t="n">
        <x:v>0.000001</x:v>
      </x:c>
      <x:c r="H127" s="408" t="str">
        <x:v>PASS</x:v>
      </x:c>
      <x:c r="I127" s="408" t="str">
        <x:v>Independent fixed arithmetic</x:v>
      </x:c>
    </x:row>
    <x:row r="128">
      <x:c r="B128" s="408" t="str">
        <x:v>SW-QA-04</x:v>
      </x:c>
      <x:c r="C128" s="408" t="str">
        <x:v>Shear wall full deflection benchmark</x:v>
      </x:c>
      <x:c r="D128" s="408" t="n">
        <x:v>0.24023809523809525</x:v>
      </x:c>
      <x:c r="E128" s="408" t="n">
        <x:v>0.24023809523809525</x:v>
      </x:c>
      <x:c r="F128" s="408" t="n">
        <x:v>0</x:v>
      </x:c>
      <x:c r="G128" s="408" t="n">
        <x:v>0.000001</x:v>
      </x:c>
      <x:c r="H128" s="408" t="str">
        <x:v>PASS</x:v>
      </x:c>
      <x:c r="I128" s="408" t="str">
        <x:v>Independent 3-term recomputation</x:v>
      </x:c>
    </x:row>
    <x:row r="129">
      <x:c r="B129" s="408" t="str">
        <x:v>DIA-QA-01</x:v>
      </x:c>
      <x:c r="C129" s="408" t="str">
        <x:v>Simple UDL diaphragm deflection</x:v>
      </x:c>
      <x:c r="D129" s="408" t="n">
        <x:v>0.10021428571428571</x:v>
      </x:c>
      <x:c r="E129" s="408" t="n">
        <x:v>0.10021428571428571</x:v>
      </x:c>
      <x:c r="F129" s="408" t="n">
        <x:v>0</x:v>
      </x:c>
      <x:c r="G129" s="408" t="n">
        <x:v>0.000001</x:v>
      </x:c>
      <x:c r="H129" s="408" t="str">
        <x:v>PASS</x:v>
      </x:c>
      <x:c r="I129" s="408" t="str">
        <x:v>Independent 3-term recomputation</x:v>
      </x:c>
    </x:row>
    <x:row r="130">
      <x:c r="B130" s="408" t="str">
        <x:v>DIA-QA-02</x:v>
      </x:c>
      <x:c r="C130" s="408" t="str">
        <x:v>Cantilever UDL diaphragm deflection</x:v>
      </x:c>
      <x:c r="D130" s="408" t="n">
        <x:v>0.22202857142857144</x:v>
      </x:c>
      <x:c r="E130" s="408" t="n">
        <x:v>0.22202857142857144</x:v>
      </x:c>
      <x:c r="F130" s="408" t="n">
        <x:v>0</x:v>
      </x:c>
      <x:c r="G130" s="408" t="n">
        <x:v>0.000001</x:v>
      </x:c>
      <x:c r="H130" s="408" t="str">
        <x:v>PASS</x:v>
      </x:c>
      <x:c r="I130" s="408" t="str">
        <x:v>Independent 3-term recomputation</x:v>
      </x:c>
    </x:row>
    <x:row r="131">
      <x:c r="B131" s="408" t="str">
        <x:v>DIA-QA-03</x:v>
      </x:c>
      <x:c r="C131" s="408" t="str">
        <x:v>Cantilever tip-load diaphragm deflection</x:v>
      </x:c>
      <x:c r="D131" s="408" t="n">
        <x:v>0.4637428571428571</x:v>
      </x:c>
      <x:c r="E131" s="408" t="n">
        <x:v>0.4637428571428571</x:v>
      </x:c>
      <x:c r="F131" s="408" t="n">
        <x:v>0</x:v>
      </x:c>
      <x:c r="G131" s="408" t="n">
        <x:v>0.000001</x:v>
      </x:c>
      <x:c r="H131" s="408" t="str">
        <x:v>PASS</x:v>
      </x:c>
      <x:c r="I131" s="408" t="str">
        <x:v>Independent 3-term recomputation</x:v>
      </x:c>
    </x:row>
    <x:row r="132">
      <x:c r="B132" s="408" t="str">
        <x:v>LAT-QA-ALL</x:v>
      </x:c>
      <x:c r="C132" s="408" t="str">
        <x:v>Lateral benchmark overall</x:v>
      </x:c>
      <x:c r="D132" s="408"/>
      <x:c r="E132" s="408"/>
      <x:c r="F132" s="408"/>
      <x:c r="G132" s="408"/>
      <x:c r="H132" s="408" t="str">
        <x:v>PASS</x:v>
      </x:c>
      <x:c r="I132" s="408" t="str">
        <x:v>24_SHEAR_WALL / 25_DIAPHRAGM locked suites</x:v>
      </x:c>
    </x:row>
    <x:row r="133">
      <x:c r="B133" s="408" t="str">
        <x:v>CONN-QA-01</x:v>
      </x:c>
      <x:c r="C133" s="408" t="str">
        <x:v>Cg small-diameter bypass</x:v>
      </x:c>
      <x:c r="D133" s="408" t="n">
        <x:v>1</x:v>
      </x:c>
      <x:c r="E133" s="408" t="n">
        <x:v>1</x:v>
      </x:c>
      <x:c r="F133" s="408" t="n">
        <x:v>0</x:v>
      </x:c>
      <x:c r="G133" s="408" t="n">
        <x:v>1e-9</x:v>
      </x:c>
      <x:c r="H133" s="408" t="str">
        <x:v>PASS</x:v>
      </x:c>
      <x:c r="I133" s="408" t="str">
        <x:v>Independent fixed case</x:v>
      </x:c>
    </x:row>
    <x:row r="134">
      <x:c r="B134" s="408" t="str">
        <x:v>CONN-QA-02</x:v>
      </x:c>
      <x:c r="C134" s="408" t="str">
        <x:v>Gamma wood-metal D=.5</x:v>
      </x:c>
      <x:c r="D134" s="408" t="n">
        <x:v>95459.41546018393</x:v>
      </x:c>
      <x:c r="E134" s="408" t="n">
        <x:v>95459.41546018393</x:v>
      </x:c>
      <x:c r="F134" s="408" t="n">
        <x:v>0</x:v>
      </x:c>
      <x:c r="G134" s="408" t="n">
        <x:v>0.000001</x:v>
      </x:c>
      <x:c r="H134" s="408" t="str">
        <x:v>PASS</x:v>
      </x:c>
      <x:c r="I134" s="408" t="str">
        <x:v>Independent fixed case</x:v>
      </x:c>
    </x:row>
    <x:row r="135">
      <x:c r="B135" s="408" t="str">
        <x:v>CONN-QA-03</x:v>
      </x:c>
      <x:c r="C135" s="408" t="str">
        <x:v>Group stiffness ratio RE</x:v>
      </x:c>
      <x:c r="D135" s="408" t="n">
        <x:v>0.2876984126984127</x:v>
      </x:c>
      <x:c r="E135" s="408" t="n">
        <x:v>0.2876984126984127</x:v>
      </x:c>
      <x:c r="F135" s="408" t="n">
        <x:v>0</x:v>
      </x:c>
      <x:c r="G135" s="408" t="n">
        <x:v>1e-9</x:v>
      </x:c>
      <x:c r="H135" s="408" t="str">
        <x:v>PASS</x:v>
      </x:c>
      <x:c r="I135" s="408" t="str">
        <x:v>Independent fixed case</x:v>
      </x:c>
    </x:row>
    <x:row r="136">
      <x:c r="B136" s="408" t="str">
        <x:v>CONN-QA-04</x:v>
      </x:c>
      <x:c r="C136" s="408" t="str">
        <x:v>Nonlinear group-action factor Cg</x:v>
      </x:c>
      <x:c r="D136" s="408" t="n">
        <x:v>0.5372875939986285</x:v>
      </x:c>
      <x:c r="E136" s="408" t="n">
        <x:v>0.5372875939986285</x:v>
      </x:c>
      <x:c r="F136" s="408" t="n">
        <x:v>0</x:v>
      </x:c>
      <x:c r="G136" s="408" t="n">
        <x:v>1e-9</x:v>
      </x:c>
      <x:c r="H136" s="408" t="str">
        <x:v>PASS</x:v>
      </x:c>
      <x:c r="I136" s="408" t="str">
        <x:v>Independent fixed case</x:v>
      </x:c>
    </x:row>
    <x:row r="137">
      <x:c r="B137" s="408" t="str">
        <x:v>CONN-QA-05</x:v>
      </x:c>
      <x:c r="C137" s="408" t="str">
        <x:v>Group-adjusted lateral capacity</x:v>
      </x:c>
      <x:c r="D137" s="408" t="n">
        <x:v>967.1176691975313</x:v>
      </x:c>
      <x:c r="E137" s="408" t="n">
        <x:v>967.1176691975313</x:v>
      </x:c>
      <x:c r="F137" s="408" t="n">
        <x:v>0</x:v>
      </x:c>
      <x:c r="G137" s="408" t="n">
        <x:v>0.000001</x:v>
      </x:c>
      <x:c r="H137" s="408" t="str">
        <x:v>PASS</x:v>
      </x:c>
      <x:c r="I137" s="408" t="str">
        <x:v>Independent product recomputation</x:v>
      </x:c>
    </x:row>
    <x:row r="138">
      <x:c r="B138" s="408" t="str">
        <x:v>CONN-QA-06</x:v>
      </x:c>
      <x:c r="C138" s="408" t="str">
        <x:v>Withdrawal/head-pull-through limit</x:v>
      </x:c>
      <x:c r="D138" s="408" t="n">
        <x:v>1200</x:v>
      </x:c>
      <x:c r="E138" s="408" t="n">
        <x:v>1200</x:v>
      </x:c>
      <x:c r="F138" s="408" t="n">
        <x:v>0</x:v>
      </x:c>
      <x:c r="G138" s="408" t="n">
        <x:v>0.000001</x:v>
      </x:c>
      <x:c r="H138" s="408" t="str">
        <x:v>PASS</x:v>
      </x:c>
      <x:c r="I138" s="408" t="str">
        <x:v>Independent min/product recomputation</x:v>
      </x:c>
    </x:row>
    <x:row r="139">
      <x:c r="B139" s="408" t="str">
        <x:v>CONN-QA-07</x:v>
      </x:c>
      <x:c r="C139" s="408" t="str">
        <x:v>Connection utilization</x:v>
      </x:c>
      <x:c r="D139" s="408" t="n">
        <x:v>0.7238002388900898</x:v>
      </x:c>
      <x:c r="E139" s="408" t="n">
        <x:v>0.7238002388900898</x:v>
      </x:c>
      <x:c r="F139" s="408" t="n">
        <x:v>0</x:v>
      </x:c>
      <x:c r="G139" s="408" t="n">
        <x:v>1e-9</x:v>
      </x:c>
      <x:c r="H139" s="408" t="str">
        <x:v>PASS</x:v>
      </x:c>
      <x:c r="I139" s="408" t="str">
        <x:v>Independent ratio</x:v>
      </x:c>
    </x:row>
    <x:row r="140">
      <x:c r="B140" s="408" t="str">
        <x:v>HD-QA-01</x:v>
      </x:c>
      <x:c r="C140" s="408" t="str">
        <x:v>Holdown adjusted capacity</x:v>
      </x:c>
      <x:c r="D140" s="408" t="n">
        <x:v>4500</x:v>
      </x:c>
      <x:c r="E140" s="408" t="n">
        <x:v>4500</x:v>
      </x:c>
      <x:c r="F140" s="408" t="n">
        <x:v>0</x:v>
      </x:c>
      <x:c r="G140" s="408" t="n">
        <x:v>0.000001</x:v>
      </x:c>
      <x:c r="H140" s="408" t="str">
        <x:v>PASS</x:v>
      </x:c>
      <x:c r="I140" s="408" t="str">
        <x:v>Independent product</x:v>
      </x:c>
    </x:row>
    <x:row r="141">
      <x:c r="B141" s="408" t="str">
        <x:v>HD-QA-02</x:v>
      </x:c>
      <x:c r="C141" s="408" t="str">
        <x:v>Holdown utilization</x:v>
      </x:c>
      <x:c r="D141" s="408" t="n">
        <x:v>0.7777777777777778</x:v>
      </x:c>
      <x:c r="E141" s="408" t="n">
        <x:v>0.7777777777777778</x:v>
      </x:c>
      <x:c r="F141" s="408" t="n">
        <x:v>0</x:v>
      </x:c>
      <x:c r="G141" s="408" t="n">
        <x:v>1e-9</x:v>
      </x:c>
      <x:c r="H141" s="408" t="str">
        <x:v>PASS</x:v>
      </x:c>
      <x:c r="I141" s="408" t="str">
        <x:v>Independent ratio</x:v>
      </x:c>
    </x:row>
    <x:row r="142">
      <x:c r="B142" s="408" t="str">
        <x:v>HD-QA-03</x:v>
      </x:c>
      <x:c r="C142" s="408" t="str">
        <x:v>Additional rod length</x:v>
      </x:c>
      <x:c r="D142" s="408" t="n">
        <x:v>12</x:v>
      </x:c>
      <x:c r="E142" s="408" t="n">
        <x:v>12</x:v>
      </x:c>
      <x:c r="F142" s="408" t="n">
        <x:v>0</x:v>
      </x:c>
      <x:c r="G142" s="408" t="n">
        <x:v>1e-9</x:v>
      </x:c>
      <x:c r="H142" s="408" t="str">
        <x:v>PASS</x:v>
      </x:c>
      <x:c r="I142" s="408" t="str">
        <x:v>Independent geometry</x:v>
      </x:c>
    </x:row>
    <x:row r="143">
      <x:c r="B143" s="408" t="str">
        <x:v>HD-QA-04</x:v>
      </x:c>
      <x:c r="C143" s="408" t="str">
        <x:v>Rod elongation</x:v>
      </x:c>
      <x:c r="D143" s="408" t="n">
        <x:v>0.0043361552756555856</x:v>
      </x:c>
      <x:c r="E143" s="408" t="n">
        <x:v>0.0043361552756555856</x:v>
      </x:c>
      <x:c r="F143" s="408" t="n">
        <x:v>0</x:v>
      </x:c>
      <x:c r="G143" s="408" t="n">
        <x:v>1e-9</x:v>
      </x:c>
      <x:c r="H143" s="408" t="str">
        <x:v>PASS</x:v>
      </x:c>
      <x:c r="I143" s="408" t="str">
        <x:v>Independent PL/AE</x:v>
      </x:c>
    </x:row>
    <x:row r="144">
      <x:c r="B144" s="408" t="str">
        <x:v>HD-QA-05</x:v>
      </x:c>
      <x:c r="C144" s="408" t="str">
        <x:v>Scaled product deformation</x:v>
      </x:c>
      <x:c r="D144" s="408" t="n">
        <x:v>0.07</x:v>
      </x:c>
      <x:c r="E144" s="408" t="n">
        <x:v>0.07</x:v>
      </x:c>
      <x:c r="F144" s="408" t="n">
        <x:v>0</x:v>
      </x:c>
      <x:c r="G144" s="408" t="n">
        <x:v>1e-9</x:v>
      </x:c>
      <x:c r="H144" s="408" t="str">
        <x:v>PASS</x:v>
      </x:c>
      <x:c r="I144" s="408" t="str">
        <x:v>Independent ratio</x:v>
      </x:c>
    </x:row>
    <x:row r="145">
      <x:c r="B145" s="408" t="str">
        <x:v>HD-QA-06</x:v>
      </x:c>
      <x:c r="C145" s="408" t="str">
        <x:v>Total holdown deformation</x:v>
      </x:c>
      <x:c r="D145" s="408" t="n">
        <x:v>0.0743361552756556</x:v>
      </x:c>
      <x:c r="E145" s="408" t="n">
        <x:v>0.0743361552756556</x:v>
      </x:c>
      <x:c r="F145" s="408" t="n">
        <x:v>0</x:v>
      </x:c>
      <x:c r="G145" s="408" t="n">
        <x:v>1e-9</x:v>
      </x:c>
      <x:c r="H145" s="408" t="str">
        <x:v>PASS</x:v>
      </x:c>
      <x:c r="I145" s="408" t="str">
        <x:v>Independent sum</x:v>
      </x:c>
    </x:row>
    <x:row r="146">
      <x:c r="B146" s="408" t="str">
        <x:v>ANCH-QA-01</x:v>
      </x:c>
      <x:c r="C146" s="408" t="str">
        <x:v>Anchor-line shear capacity</x:v>
      </x:c>
      <x:c r="D146" s="408" t="n">
        <x:v>4860</x:v>
      </x:c>
      <x:c r="E146" s="408" t="n">
        <x:v>4860</x:v>
      </x:c>
      <x:c r="F146" s="408" t="n">
        <x:v>0</x:v>
      </x:c>
      <x:c r="G146" s="408" t="n">
        <x:v>0.000001</x:v>
      </x:c>
      <x:c r="H146" s="408" t="str">
        <x:v>PASS</x:v>
      </x:c>
      <x:c r="I146" s="408" t="str">
        <x:v>Independent product</x:v>
      </x:c>
    </x:row>
    <x:row r="147">
      <x:c r="B147" s="408" t="str">
        <x:v>ANCH-QA-02</x:v>
      </x:c>
      <x:c r="C147" s="408" t="str">
        <x:v>Anchor-line tension capacity</x:v>
      </x:c>
      <x:c r="D147" s="408" t="n">
        <x:v>3780</x:v>
      </x:c>
      <x:c r="E147" s="408" t="n">
        <x:v>3780</x:v>
      </x:c>
      <x:c r="F147" s="408" t="n">
        <x:v>0</x:v>
      </x:c>
      <x:c r="G147" s="408" t="n">
        <x:v>0.000001</x:v>
      </x:c>
      <x:c r="H147" s="408" t="str">
        <x:v>PASS</x:v>
      </x:c>
      <x:c r="I147" s="408" t="str">
        <x:v>Independent product</x:v>
      </x:c>
    </x:row>
    <x:row r="148">
      <x:c r="B148" s="408" t="str">
        <x:v>ANCH-QA-03</x:v>
      </x:c>
      <x:c r="C148" s="408" t="str">
        <x:v>Anchor-line shear utilization</x:v>
      </x:c>
      <x:c r="D148" s="408" t="n">
        <x:v>0.617283950617284</x:v>
      </x:c>
      <x:c r="E148" s="408" t="n">
        <x:v>0.617283950617284</x:v>
      </x:c>
      <x:c r="F148" s="408" t="n">
        <x:v>0</x:v>
      </x:c>
      <x:c r="G148" s="408" t="n">
        <x:v>1e-9</x:v>
      </x:c>
      <x:c r="H148" s="408" t="str">
        <x:v>PASS</x:v>
      </x:c>
      <x:c r="I148" s="408" t="str">
        <x:v>Independent ratio</x:v>
      </x:c>
    </x:row>
    <x:row r="149">
      <x:c r="B149" s="408" t="str">
        <x:v>ANCH-QA-04</x:v>
      </x:c>
      <x:c r="C149" s="408" t="str">
        <x:v>Required anchor count</x:v>
      </x:c>
      <x:c r="D149" s="408" t="n">
        <x:v>4</x:v>
      </x:c>
      <x:c r="E149" s="408" t="n">
        <x:v>4</x:v>
      </x:c>
      <x:c r="F149" s="408" t="n">
        <x:v>0</x:v>
      </x:c>
      <x:c r="G149" s="408" t="n">
        <x:v>0</x:v>
      </x:c>
      <x:c r="H149" s="408" t="str">
        <x:v>PASS</x:v>
      </x:c>
      <x:c r="I149" s="408" t="str">
        <x:v>Independent ceiling</x:v>
      </x:c>
    </x:row>
    <x:row r="150">
      <x:c r="B150" s="408" t="str">
        <x:v>ANCH-QA-05</x:v>
      </x:c>
      <x:c r="C150" s="408" t="str">
        <x:v>Average anchor spacing</x:v>
      </x:c>
      <x:c r="D150" s="408" t="n">
        <x:v>48</x:v>
      </x:c>
      <x:c r="E150" s="408" t="n">
        <x:v>48</x:v>
      </x:c>
      <x:c r="F150" s="408" t="n">
        <x:v>0</x:v>
      </x:c>
      <x:c r="G150" s="408" t="n">
        <x:v>1e-9</x:v>
      </x:c>
      <x:c r="H150" s="408" t="str">
        <x:v>PASS</x:v>
      </x:c>
      <x:c r="I150" s="408" t="str">
        <x:v>Independent geometry</x:v>
      </x:c>
    </x:row>
    <x:row r="151">
      <x:c r="B151" s="408" t="str">
        <x:v>ANCH-QA-06</x:v>
      </x:c>
      <x:c r="C151" s="408" t="str">
        <x:v>Anchor spacing utilization</x:v>
      </x:c>
      <x:c r="D151" s="408" t="n">
        <x:v>0.6666666666666666</x:v>
      </x:c>
      <x:c r="E151" s="408" t="n">
        <x:v>0.6666666666666666</x:v>
      </x:c>
      <x:c r="F151" s="408" t="n">
        <x:v>0</x:v>
      </x:c>
      <x:c r="G151" s="408" t="n">
        <x:v>1e-9</x:v>
      </x:c>
      <x:c r="H151" s="408" t="str">
        <x:v>PASS</x:v>
      </x:c>
      <x:c r="I151" s="408" t="str">
        <x:v>Independent ratio</x:v>
      </x:c>
    </x:row>
    <x:row r="152">
      <x:c r="B152" s="408" t="str">
        <x:v>COL-QA-01</x:v>
      </x:c>
      <x:c r="C152" s="408" t="str">
        <x:v>Collector member capacity</x:v>
      </x:c>
      <x:c r="D152" s="408" t="n">
        <x:v>10800</x:v>
      </x:c>
      <x:c r="E152" s="408" t="n">
        <x:v>10800</x:v>
      </x:c>
      <x:c r="F152" s="408" t="n">
        <x:v>0</x:v>
      </x:c>
      <x:c r="G152" s="408" t="n">
        <x:v>0.000001</x:v>
      </x:c>
      <x:c r="H152" s="408" t="str">
        <x:v>PASS</x:v>
      </x:c>
      <x:c r="I152" s="408" t="str">
        <x:v>Independent product</x:v>
      </x:c>
    </x:row>
    <x:row r="153">
      <x:c r="B153" s="408" t="str">
        <x:v>COL-QA-02</x:v>
      </x:c>
      <x:c r="C153" s="408" t="str">
        <x:v>Collector member D/C</x:v>
      </x:c>
      <x:c r="D153" s="408" t="n">
        <x:v>0.7407407407407407</x:v>
      </x:c>
      <x:c r="E153" s="408" t="n">
        <x:v>0.7407407407407407</x:v>
      </x:c>
      <x:c r="F153" s="408" t="n">
        <x:v>0</x:v>
      </x:c>
      <x:c r="G153" s="408" t="n">
        <x:v>1e-9</x:v>
      </x:c>
      <x:c r="H153" s="408" t="str">
        <x:v>PASS</x:v>
      </x:c>
      <x:c r="I153" s="408" t="str">
        <x:v>Independent ratio</x:v>
      </x:c>
    </x:row>
    <x:row r="154">
      <x:c r="B154" s="408" t="str">
        <x:v>COL-QA-03</x:v>
      </x:c>
      <x:c r="C154" s="408" t="str">
        <x:v>Collector connection capacity</x:v>
      </x:c>
      <x:c r="D154" s="408" t="n">
        <x:v>9000</x:v>
      </x:c>
      <x:c r="E154" s="408" t="n">
        <x:v>9000</x:v>
      </x:c>
      <x:c r="F154" s="408" t="n">
        <x:v>0</x:v>
      </x:c>
      <x:c r="G154" s="408" t="n">
        <x:v>0.000001</x:v>
      </x:c>
      <x:c r="H154" s="408" t="str">
        <x:v>PASS</x:v>
      </x:c>
      <x:c r="I154" s="408" t="str">
        <x:v>Independent product</x:v>
      </x:c>
    </x:row>
    <x:row r="155">
      <x:c r="B155" s="408" t="str">
        <x:v>COL-QA-04</x:v>
      </x:c>
      <x:c r="C155" s="408" t="str">
        <x:v>Collector connection D/C</x:v>
      </x:c>
      <x:c r="D155" s="408" t="n">
        <x:v>0.7222222222222222</x:v>
      </x:c>
      <x:c r="E155" s="408" t="n">
        <x:v>0.7222222222222222</x:v>
      </x:c>
      <x:c r="F155" s="408" t="n">
        <x:v>0</x:v>
      </x:c>
      <x:c r="G155" s="408" t="n">
        <x:v>1e-9</x:v>
      </x:c>
      <x:c r="H155" s="408" t="str">
        <x:v>PASS</x:v>
      </x:c>
      <x:c r="I155" s="408" t="str">
        <x:v>Independent ratio</x:v>
      </x:c>
    </x:row>
    <x:row r="156">
      <x:c r="B156" s="408" t="str">
        <x:v>CONNECTION-QA-ALL</x:v>
      </x:c>
      <x:c r="C156" s="408" t="str">
        <x:v>Connection/load-path benchmark overall</x:v>
      </x:c>
      <x:c r="D156" s="408"/>
      <x:c r="E156" s="408"/>
      <x:c r="F156" s="408"/>
      <x:c r="G156" s="408"/>
      <x:c r="H156" s="408" t="str">
        <x:v>PASS</x:v>
      </x:c>
      <x:c r="I156" s="408" t="str">
        <x:v>28-31 module locked suites</x:v>
      </x:c>
    </x:row>
    <x:row r="157">
      <x:c r="B157" s="408" t="str">
        <x:v>FDN-QA-01</x:v>
      </x:c>
      <x:c r="C157" s="408" t="str">
        <x:v>Footing area</x:v>
      </x:c>
      <x:c r="D157" s="408" t="n">
        <x:v>20</x:v>
      </x:c>
      <x:c r="E157" s="408" t="n">
        <x:v>20</x:v>
      </x:c>
      <x:c r="F157" s="408" t="n">
        <x:v>0</x:v>
      </x:c>
      <x:c r="G157" s="408" t="n">
        <x:v>1e-9</x:v>
      </x:c>
      <x:c r="H157" s="408" t="str">
        <x:v>PASS</x:v>
      </x:c>
      <x:c r="I157" s="408" t="str">
        <x:v>Independent geometry</x:v>
      </x:c>
    </x:row>
    <x:row r="158">
      <x:c r="B158" s="408" t="str">
        <x:v>FDN-QA-02</x:v>
      </x:c>
      <x:c r="C158" s="408" t="str">
        <x:v>Footing self-weight</x:v>
      </x:c>
      <x:c r="D158" s="408" t="n">
        <x:v>3</x:v>
      </x:c>
      <x:c r="E158" s="408" t="n">
        <x:v>3</x:v>
      </x:c>
      <x:c r="F158" s="408" t="n">
        <x:v>0</x:v>
      </x:c>
      <x:c r="G158" s="408" t="n">
        <x:v>1e-9</x:v>
      </x:c>
      <x:c r="H158" s="408" t="str">
        <x:v>PASS</x:v>
      </x:c>
      <x:c r="I158" s="408" t="str">
        <x:v>Independent volume × density</x:v>
      </x:c>
    </x:row>
    <x:row r="159">
      <x:c r="B159" s="408" t="str">
        <x:v>FDN-QA-03</x:v>
      </x:c>
      <x:c r="C159" s="408" t="str">
        <x:v>Eccentricity</x:v>
      </x:c>
      <x:c r="D159" s="408" t="n">
        <x:v>0.27906976744186046</x:v>
      </x:c>
      <x:c r="E159" s="408" t="n">
        <x:v>0.27906976744186046</x:v>
      </x:c>
      <x:c r="F159" s="408" t="n">
        <x:v>0</x:v>
      </x:c>
      <x:c r="G159" s="408" t="n">
        <x:v>1e-9</x:v>
      </x:c>
      <x:c r="H159" s="408" t="str">
        <x:v>PASS</x:v>
      </x:c>
      <x:c r="I159" s="408" t="str">
        <x:v>Independent M/P</x:v>
      </x:c>
    </x:row>
    <x:row r="160">
      <x:c r="B160" s="408" t="str">
        <x:v>FDN-QA-04</x:v>
      </x:c>
      <x:c r="C160" s="408" t="str">
        <x:v>Average bearing pressure</x:v>
      </x:c>
      <x:c r="D160" s="408" t="n">
        <x:v>2.15</x:v>
      </x:c>
      <x:c r="E160" s="408" t="n">
        <x:v>2.15</x:v>
      </x:c>
      <x:c r="F160" s="408" t="n">
        <x:v>0</x:v>
      </x:c>
      <x:c r="G160" s="408" t="n">
        <x:v>1e-9</x:v>
      </x:c>
      <x:c r="H160" s="408" t="str">
        <x:v>PASS</x:v>
      </x:c>
      <x:c r="I160" s="408" t="str">
        <x:v>Independent P/A</x:v>
      </x:c>
    </x:row>
    <x:row r="161">
      <x:c r="B161" s="408" t="str">
        <x:v>FDN-QA-05</x:v>
      </x:c>
      <x:c r="C161" s="408" t="str">
        <x:v>Maximum bearing pressure</x:v>
      </x:c>
      <x:c r="D161" s="408" t="n">
        <x:v>3.05</x:v>
      </x:c>
      <x:c r="E161" s="408" t="n">
        <x:v>3.05</x:v>
      </x:c>
      <x:c r="F161" s="408" t="n">
        <x:v>0</x:v>
      </x:c>
      <x:c r="G161" s="408" t="n">
        <x:v>1e-9</x:v>
      </x:c>
      <x:c r="H161" s="408" t="str">
        <x:v>PASS</x:v>
      </x:c>
      <x:c r="I161" s="408" t="str">
        <x:v>Independent full-contact equation</x:v>
      </x:c>
    </x:row>
    <x:row r="162">
      <x:c r="B162" s="408" t="str">
        <x:v>FDN-QA-06</x:v>
      </x:c>
      <x:c r="C162" s="408" t="str">
        <x:v>Minimum bearing pressure</x:v>
      </x:c>
      <x:c r="D162" s="408" t="n">
        <x:v>1.25</x:v>
      </x:c>
      <x:c r="E162" s="408" t="n">
        <x:v>1.25</x:v>
      </x:c>
      <x:c r="F162" s="408" t="n">
        <x:v>0</x:v>
      </x:c>
      <x:c r="G162" s="408" t="n">
        <x:v>1e-9</x:v>
      </x:c>
      <x:c r="H162" s="408" t="str">
        <x:v>PASS</x:v>
      </x:c>
      <x:c r="I162" s="408" t="str">
        <x:v>Independent full-contact equation</x:v>
      </x:c>
    </x:row>
    <x:row r="163">
      <x:c r="B163" s="408" t="str">
        <x:v>FDN-QA-07</x:v>
      </x:c>
      <x:c r="C163" s="408" t="str">
        <x:v>Sliding factor of safety</x:v>
      </x:c>
      <x:c r="D163" s="408" t="n">
        <x:v>2.8666666666666667</x:v>
      </x:c>
      <x:c r="E163" s="408" t="n">
        <x:v>2.8666666666666667</x:v>
      </x:c>
      <x:c r="F163" s="408" t="n">
        <x:v>0</x:v>
      </x:c>
      <x:c r="G163" s="408" t="n">
        <x:v>1e-9</x:v>
      </x:c>
      <x:c r="H163" s="408" t="str">
        <x:v>PASS</x:v>
      </x:c>
      <x:c r="I163" s="408" t="str">
        <x:v>Independent resistance/demand</x:v>
      </x:c>
    </x:row>
    <x:row r="164">
      <x:c r="B164" s="408" t="str">
        <x:v>FDN-QA-08</x:v>
      </x:c>
      <x:c r="C164" s="408" t="str">
        <x:v>Overturning factor of safety</x:v>
      </x:c>
      <x:c r="D164" s="408" t="n">
        <x:v>7.166666666666667</x:v>
      </x:c>
      <x:c r="E164" s="408" t="n">
        <x:v>7.166666666666667</x:v>
      </x:c>
      <x:c r="F164" s="408" t="n">
        <x:v>0</x:v>
      </x:c>
      <x:c r="G164" s="408" t="n">
        <x:v>1e-9</x:v>
      </x:c>
      <x:c r="H164" s="408" t="str">
        <x:v>PASS</x:v>
      </x:c>
      <x:c r="I164" s="408" t="str">
        <x:v>Independent restoring/overturning moment</x:v>
      </x:c>
    </x:row>
    <x:row r="165">
      <x:c r="B165" s="408" t="str">
        <x:v>FDN-QA-ALL</x:v>
      </x:c>
      <x:c r="C165" s="408" t="str">
        <x:v>Foundation mechanics benchmark overall</x:v>
      </x:c>
      <x:c r="D165" s="408"/>
      <x:c r="E165" s="408"/>
      <x:c r="F165" s="408"/>
      <x:c r="G165" s="408"/>
      <x:c r="H165" s="408" t="str">
        <x:v>PASS</x:v>
      </x:c>
      <x:c r="I165" s="408" t="str">
        <x:v>36_FOUNDATION locked suite</x:v>
      </x:c>
    </x:row>
  </x:sheetData>
  <x:mergeCells>
    <x:mergeCell ref="B2:I3"/>
    <x:mergeCell ref="B4:I6"/>
    <x:mergeCell ref="B8:I8"/>
    <x:mergeCell ref="B20:I20"/>
    <x:mergeCell ref="B29:I29"/>
    <x:mergeCell ref="B83:I83"/>
    <x:mergeCell ref="B89:I89"/>
    <x:mergeCell ref="B100:I100"/>
    <x:mergeCell ref="B111:I112"/>
  </x:mergeCells>
  <x:conditionalFormatting sqref="I10:I17">
    <x:cfRule type="expression" dxfId="15" priority="1">
      <x:formula>I10="PASS"</x:formula>
    </x:cfRule>
    <x:cfRule type="expression" dxfId="16" priority="2">
      <x:formula>OR(I10="REVIEW",I10="INCOMPLETE",I10="PENDING",I10="MISSING")</x:formula>
    </x:cfRule>
    <x:cfRule type="expression" dxfId="17" priority="3">
      <x:formula>OR(I10="FAIL",I10="ERROR")</x:formula>
    </x:cfRule>
  </x:conditionalFormatting>
  <x:conditionalFormatting sqref="I31:I80">
    <x:cfRule type="expression" dxfId="24" priority="4">
      <x:formula>I31="PASS"</x:formula>
    </x:cfRule>
    <x:cfRule type="expression" dxfId="25" priority="5">
      <x:formula>I31="REVIEW"</x:formula>
    </x:cfRule>
  </x:conditionalFormatting>
  <x:conditionalFormatting sqref="I85:I87">
    <x:cfRule type="expression" dxfId="37" priority="6">
      <x:formula>I85="PASS"</x:formula>
    </x:cfRule>
    <x:cfRule type="expression" dxfId="38" priority="7">
      <x:formula>I85="CHECK"</x:formula>
    </x:cfRule>
  </x:conditionalFormatting>
  <x:conditionalFormatting sqref="I89:I89">
    <x:cfRule type="expression" dxfId="39" priority="8">
      <x:formula>I89="PASS"</x:formula>
    </x:cfRule>
  </x:conditionalFormatting>
  <x:conditionalFormatting sqref="H115:H124">
    <x:cfRule type="expression" dxfId="87" priority="9">
      <x:formula>H115="PASS"</x:formula>
    </x:cfRule>
    <x:cfRule type="expression" dxfId="88" priority="10">
      <x:formula>H115="FAIL"</x:formula>
    </x:cfRule>
  </x:conditionalFormatting>
  <x:dataValidations count="1">
    <x:dataValidation type="list" sqref="G22:G27">
      <x:formula1>"PASS,REVIEW,FAIL,PENDING"</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PROJECT TEAM / OUTSIDE FIRM CONTACTS</x:v>
      </x:c>
      <x:c r="C2" s="79"/>
      <x:c r="D2" s="79"/>
      <x:c r="E2" s="79"/>
      <x:c r="F2" s="79"/>
      <x:c r="G2" s="79"/>
      <x:c r="H2" s="79"/>
      <x:c r="I2" s="79"/>
      <x:c r="J2" s="79"/>
      <x:c r="K2" s="78"/>
    </x:row>
    <x:row r="3">
      <x:c r="B3" s="79"/>
      <x:c r="C3" s="79"/>
      <x:c r="D3" s="79"/>
      <x:c r="E3" s="79"/>
      <x:c r="F3" s="79"/>
      <x:c r="G3" s="79"/>
      <x:c r="H3" s="79"/>
      <x:c r="I3" s="79"/>
      <x:c r="J3" s="79"/>
      <x:c r="K3" s="78"/>
    </x:row>
    <x:row r="4">
      <x:c r="B4" s="78"/>
      <x:c r="C4" s="78"/>
      <x:c r="D4" s="78"/>
      <x:c r="E4" s="78"/>
      <x:c r="F4" s="78"/>
      <x:c r="G4" s="78"/>
      <x:c r="H4" s="78"/>
      <x:c r="I4" s="78"/>
      <x:c r="J4" s="78"/>
      <x:c r="K4" s="78"/>
    </x:row>
    <x:row r="5">
      <x:c r="B5" s="28" t="str">
        <x:v>Role</x:v>
      </x:c>
      <x:c r="C5" s="28" t="str">
        <x:v>Firm / Agency</x:v>
      </x:c>
      <x:c r="D5" s="28" t="str">
        <x:v>Contact</x:v>
      </x:c>
      <x:c r="E5" s="28" t="str">
        <x:v>License / Cert.</x:v>
      </x:c>
      <x:c r="F5" s="28" t="str">
        <x:v>Phone</x:v>
      </x:c>
      <x:c r="G5" s="28" t="str">
        <x:v>Email</x:v>
      </x:c>
      <x:c r="H5" s="28" t="str">
        <x:v>Report / Scope</x:v>
      </x:c>
      <x:c r="I5" s="28" t="str">
        <x:v>Date</x:v>
      </x:c>
      <x:c r="J5" s="28" t="str">
        <x:v>Appendix Ref</x:v>
      </x:c>
      <x:c r="K5" s="78"/>
    </x:row>
    <x:row r="6">
      <x:c r="B6" s="78" t="str">
        <x:v>Owner / Client</x:v>
      </x:c>
      <x:c r="C6" s="102" t="str"/>
      <x:c r="D6" s="102" t="str"/>
      <x:c r="E6" s="102" t="str"/>
      <x:c r="F6" s="102" t="str"/>
      <x:c r="G6" s="102" t="str"/>
      <x:c r="H6" s="102" t="str"/>
      <x:c r="I6" s="102" t="str"/>
      <x:c r="J6" s="102" t="str"/>
      <x:c r="K6" s="78"/>
    </x:row>
    <x:row r="7">
      <x:c r="B7" s="78" t="str">
        <x:v>Architect</x:v>
      </x:c>
      <x:c r="C7" s="102" t="str"/>
      <x:c r="D7" s="102" t="str"/>
      <x:c r="E7" s="102" t="str"/>
      <x:c r="F7" s="102" t="str"/>
      <x:c r="G7" s="102" t="str"/>
      <x:c r="H7" s="102" t="str"/>
      <x:c r="I7" s="102" t="str"/>
      <x:c r="J7" s="102" t="str"/>
      <x:c r="K7" s="78"/>
    </x:row>
    <x:row r="8">
      <x:c r="B8" s="78" t="str">
        <x:v>Structural Engineer</x:v>
      </x:c>
      <x:c r="C8" s="102" t="str"/>
      <x:c r="D8" s="102" t="str"/>
      <x:c r="E8" s="102" t="str"/>
      <x:c r="F8" s="102" t="str"/>
      <x:c r="G8" s="102" t="str"/>
      <x:c r="H8" s="102" t="str"/>
      <x:c r="I8" s="102" t="str"/>
      <x:c r="J8" s="102" t="str"/>
      <x:c r="K8" s="78"/>
    </x:row>
    <x:row r="9">
      <x:c r="B9" s="78" t="str">
        <x:v>Geotechnical Engineer</x:v>
      </x:c>
      <x:c r="C9" s="102" t="str"/>
      <x:c r="D9" s="102" t="str"/>
      <x:c r="E9" s="102" t="str"/>
      <x:c r="F9" s="102" t="str"/>
      <x:c r="G9" s="102" t="str"/>
      <x:c r="H9" s="102" t="str"/>
      <x:c r="I9" s="102" t="str"/>
      <x:c r="J9" s="102" t="str"/>
      <x:c r="K9" s="78"/>
    </x:row>
    <x:row r="10">
      <x:c r="B10" s="78" t="str">
        <x:v>Surveyor</x:v>
      </x:c>
      <x:c r="C10" s="102" t="str"/>
      <x:c r="D10" s="102" t="str"/>
      <x:c r="E10" s="102" t="str"/>
      <x:c r="F10" s="102" t="str"/>
      <x:c r="G10" s="102" t="str"/>
      <x:c r="H10" s="102" t="str"/>
      <x:c r="I10" s="102" t="str"/>
      <x:c r="J10" s="102" t="str"/>
      <x:c r="K10" s="78"/>
    </x:row>
    <x:row r="11">
      <x:c r="B11" s="78" t="str">
        <x:v>Truss / Component Engineer</x:v>
      </x:c>
      <x:c r="C11" s="102" t="str"/>
      <x:c r="D11" s="102" t="str"/>
      <x:c r="E11" s="102" t="str"/>
      <x:c r="F11" s="102" t="str"/>
      <x:c r="G11" s="102" t="str"/>
      <x:c r="H11" s="102" t="str"/>
      <x:c r="I11" s="102" t="str"/>
      <x:c r="J11" s="102" t="str"/>
      <x:c r="K11" s="78"/>
    </x:row>
    <x:row r="12">
      <x:c r="B12" s="78" t="str">
        <x:v>Manufacturer / ESR Contact</x:v>
      </x:c>
      <x:c r="C12" s="102" t="str"/>
      <x:c r="D12" s="102" t="str"/>
      <x:c r="E12" s="102" t="str"/>
      <x:c r="F12" s="102" t="str"/>
      <x:c r="G12" s="102" t="str"/>
      <x:c r="H12" s="102" t="str"/>
      <x:c r="I12" s="102" t="str"/>
      <x:c r="J12" s="102" t="str"/>
      <x:c r="K12" s="78"/>
    </x:row>
    <x:row r="13">
      <x:c r="B13" s="78" t="str">
        <x:v>Building Department / AHJ</x:v>
      </x:c>
      <x:c r="C13" s="102" t="str"/>
      <x:c r="D13" s="102" t="str"/>
      <x:c r="E13" s="102" t="str"/>
      <x:c r="F13" s="102" t="str"/>
      <x:c r="G13" s="102" t="str"/>
      <x:c r="H13" s="102" t="str"/>
      <x:c r="I13" s="102" t="str"/>
      <x:c r="J13" s="102" t="str"/>
      <x:c r="K13" s="78"/>
    </x:row>
    <x:row r="14">
      <x:c r="B14" s="78" t="str">
        <x:v>Other Consultant</x:v>
      </x:c>
      <x:c r="C14" s="102" t="str"/>
      <x:c r="D14" s="102" t="str"/>
      <x:c r="E14" s="102" t="str"/>
      <x:c r="F14" s="102" t="str"/>
      <x:c r="G14" s="102" t="str"/>
      <x:c r="H14" s="102" t="str"/>
      <x:c r="I14" s="102" t="str"/>
      <x:c r="J14" s="102" t="str"/>
      <x:c r="K14" s="78"/>
    </x:row>
    <x:row r="15">
      <x:c r="B15" s="78"/>
      <x:c r="C15" s="78"/>
      <x:c r="D15" s="78"/>
      <x:c r="E15" s="78"/>
      <x:c r="F15" s="78"/>
      <x:c r="G15" s="78"/>
      <x:c r="H15" s="78"/>
      <x:c r="I15" s="78"/>
      <x:c r="J15" s="78"/>
      <x:c r="K15" s="78"/>
    </x:row>
    <x:row r="16">
      <x:c r="B16" s="78"/>
      <x:c r="C16" s="78"/>
      <x:c r="D16" s="78"/>
      <x:c r="E16" s="78"/>
      <x:c r="F16" s="78"/>
      <x:c r="G16" s="78"/>
      <x:c r="H16" s="78"/>
      <x:c r="I16" s="78"/>
      <x:c r="J16" s="78"/>
      <x:c r="K16" s="78"/>
    </x:row>
    <x:row r="17">
      <x:c r="B17" s="78"/>
      <x:c r="C17" s="78"/>
      <x:c r="D17" s="78"/>
      <x:c r="E17" s="78"/>
      <x:c r="F17" s="78"/>
      <x:c r="G17" s="78"/>
      <x:c r="H17" s="78"/>
      <x:c r="I17" s="78"/>
      <x:c r="J17" s="78"/>
      <x:c r="K17" s="78"/>
    </x:row>
    <x:row r="18">
      <x:c r="B18" s="78"/>
      <x:c r="C18" s="78"/>
      <x:c r="D18" s="78"/>
      <x:c r="E18" s="78"/>
      <x:c r="F18" s="78"/>
      <x:c r="G18" s="78"/>
      <x:c r="H18" s="78"/>
      <x:c r="I18" s="78"/>
      <x:c r="J18" s="78"/>
      <x:c r="K18" s="78"/>
    </x:row>
    <x:row r="19">
      <x:c r="B19" s="78"/>
      <x:c r="C19" s="78"/>
      <x:c r="D19" s="78"/>
      <x:c r="E19" s="78"/>
      <x:c r="F19" s="78"/>
      <x:c r="G19" s="78"/>
      <x:c r="H19" s="78"/>
      <x:c r="I19" s="78"/>
      <x:c r="J19" s="78"/>
      <x:c r="K19" s="78"/>
    </x:row>
    <x:row r="20">
      <x:c r="B20" s="78"/>
      <x:c r="C20" s="78"/>
      <x:c r="D20" s="78"/>
      <x:c r="E20" s="78"/>
      <x:c r="F20" s="78"/>
      <x:c r="G20" s="78"/>
      <x:c r="H20" s="78"/>
      <x:c r="I20" s="78"/>
      <x:c r="J20" s="78"/>
      <x:c r="K20" s="78"/>
    </x:row>
    <x:row r="21">
      <x:c r="B21" s="78"/>
      <x:c r="C21" s="78"/>
      <x:c r="D21" s="78"/>
      <x:c r="E21" s="78"/>
      <x:c r="F21" s="78"/>
      <x:c r="G21" s="78"/>
      <x:c r="H21" s="78"/>
      <x:c r="I21" s="78"/>
      <x:c r="J21" s="78"/>
      <x:c r="K21" s="78"/>
    </x:row>
    <x:row r="22">
      <x:c r="B22" s="78"/>
      <x:c r="C22" s="78"/>
      <x:c r="D22" s="78"/>
      <x:c r="E22" s="78"/>
      <x:c r="F22" s="78"/>
      <x:c r="G22" s="78"/>
      <x:c r="H22" s="78"/>
      <x:c r="I22" s="78"/>
      <x:c r="J22" s="78"/>
      <x:c r="K22" s="78"/>
    </x:row>
    <x:row r="23">
      <x:c r="B23" s="78"/>
      <x:c r="C23" s="78"/>
      <x:c r="D23" s="78"/>
      <x:c r="E23" s="78"/>
      <x:c r="F23" s="78"/>
      <x:c r="G23" s="78"/>
      <x:c r="H23" s="78"/>
      <x:c r="I23" s="78"/>
      <x:c r="J23" s="78"/>
      <x:c r="K23" s="78"/>
    </x:row>
    <x:row r="24">
      <x:c r="B24" s="78"/>
      <x:c r="C24" s="78"/>
      <x:c r="D24" s="78"/>
      <x:c r="E24" s="78"/>
      <x:c r="F24" s="78"/>
      <x:c r="G24" s="78"/>
      <x:c r="H24" s="78"/>
      <x:c r="I24" s="78"/>
      <x:c r="J24" s="78"/>
      <x:c r="K24" s="78"/>
    </x:row>
    <x:row r="25">
      <x:c r="B25" s="78"/>
      <x:c r="C25" s="78"/>
      <x:c r="D25" s="78"/>
      <x:c r="E25" s="78"/>
      <x:c r="F25" s="78"/>
      <x:c r="G25" s="78"/>
      <x:c r="H25" s="78"/>
      <x:c r="I25" s="78"/>
      <x:c r="J25" s="78"/>
      <x:c r="K25" s="78"/>
    </x:row>
    <x:row r="26">
      <x:c r="B26" s="78"/>
      <x:c r="C26" s="78"/>
      <x:c r="D26" s="78"/>
      <x:c r="E26" s="78"/>
      <x:c r="F26" s="78"/>
      <x:c r="G26" s="78"/>
      <x:c r="H26" s="78"/>
      <x:c r="I26" s="78"/>
      <x:c r="J26" s="78"/>
      <x:c r="K26" s="78"/>
    </x:row>
    <x:row r="27">
      <x:c r="B27" s="78"/>
      <x:c r="C27" s="78"/>
      <x:c r="D27" s="78"/>
      <x:c r="E27" s="78"/>
      <x:c r="F27" s="78"/>
      <x:c r="G27" s="78"/>
      <x:c r="H27" s="78"/>
      <x:c r="I27" s="78"/>
      <x:c r="J27" s="78"/>
      <x:c r="K27" s="78"/>
    </x:row>
    <x:row r="28">
      <x:c r="B28" s="78"/>
      <x:c r="C28" s="78"/>
      <x:c r="D28" s="78"/>
      <x:c r="E28" s="78"/>
      <x:c r="F28" s="78"/>
      <x:c r="G28" s="78"/>
      <x:c r="H28" s="78"/>
      <x:c r="I28" s="78"/>
      <x:c r="J28" s="78"/>
      <x:c r="K28" s="78"/>
    </x:row>
    <x:row r="29">
      <x:c r="B29" s="78"/>
      <x:c r="C29" s="78"/>
      <x:c r="D29" s="78"/>
      <x:c r="E29" s="78"/>
      <x:c r="F29" s="78"/>
      <x:c r="G29" s="78"/>
      <x:c r="H29" s="78"/>
      <x:c r="I29" s="78"/>
      <x:c r="J29" s="78"/>
      <x:c r="K29" s="78"/>
    </x:row>
    <x:row r="30">
      <x:c r="B30" s="78"/>
      <x:c r="C30" s="78"/>
      <x:c r="D30" s="78"/>
      <x:c r="E30" s="78"/>
      <x:c r="F30" s="78"/>
      <x:c r="G30" s="78"/>
      <x:c r="H30" s="78"/>
      <x:c r="I30" s="78"/>
      <x:c r="J30" s="78"/>
      <x:c r="K30" s="78"/>
    </x:row>
    <x:row r="31">
      <x:c r="B31" s="78"/>
      <x:c r="C31" s="78"/>
      <x:c r="D31" s="78"/>
      <x:c r="E31" s="78"/>
      <x:c r="F31" s="78"/>
      <x:c r="G31" s="78"/>
      <x:c r="H31" s="78"/>
      <x:c r="I31" s="78"/>
      <x:c r="J31" s="78"/>
      <x:c r="K31" s="78"/>
    </x:row>
    <x:row r="32">
      <x:c r="B32" s="78"/>
      <x:c r="C32" s="78"/>
      <x:c r="D32" s="78"/>
      <x:c r="E32" s="78"/>
      <x:c r="F32" s="78"/>
      <x:c r="G32" s="78"/>
      <x:c r="H32" s="78"/>
      <x:c r="I32" s="78"/>
      <x:c r="J32" s="78"/>
      <x:c r="K32" s="78"/>
    </x:row>
    <x:row r="33">
      <x:c r="B33" s="78"/>
      <x:c r="C33" s="78"/>
      <x:c r="D33" s="78"/>
      <x:c r="E33" s="78"/>
      <x:c r="F33" s="78"/>
      <x:c r="G33" s="78"/>
      <x:c r="H33" s="78"/>
      <x:c r="I33" s="78"/>
      <x:c r="J33" s="78"/>
      <x:c r="K33" s="78"/>
    </x:row>
    <x:row r="34">
      <x:c r="B34" s="78"/>
      <x:c r="C34" s="78"/>
      <x:c r="D34" s="78"/>
      <x:c r="E34" s="78"/>
      <x:c r="F34" s="78"/>
      <x:c r="G34" s="78"/>
      <x:c r="H34" s="78"/>
      <x:c r="I34" s="78"/>
      <x:c r="J34" s="78"/>
      <x:c r="K34" s="78"/>
    </x:row>
    <x:row r="35">
      <x:c r="B35" s="78"/>
      <x:c r="C35" s="78"/>
      <x:c r="D35" s="78"/>
      <x:c r="E35" s="78"/>
      <x:c r="F35" s="78"/>
      <x:c r="G35" s="78"/>
      <x:c r="H35" s="78"/>
      <x:c r="I35" s="78"/>
      <x:c r="J35" s="78"/>
      <x:c r="K35" s="78"/>
    </x:row>
    <x:row r="36">
      <x:c r="B36" s="78"/>
      <x:c r="C36" s="78"/>
      <x:c r="D36" s="78"/>
      <x:c r="E36" s="78"/>
      <x:c r="F36" s="78"/>
      <x:c r="G36" s="78"/>
      <x:c r="H36" s="78"/>
      <x:c r="I36" s="78"/>
      <x:c r="J36" s="78"/>
      <x:c r="K36" s="78"/>
    </x:row>
    <x:row r="37">
      <x:c r="B37" s="78"/>
      <x:c r="C37" s="78"/>
      <x:c r="D37" s="78"/>
      <x:c r="E37" s="78"/>
      <x:c r="F37" s="78"/>
      <x:c r="G37" s="78"/>
      <x:c r="H37" s="78"/>
      <x:c r="I37" s="78"/>
      <x:c r="J37" s="78"/>
      <x:c r="K37" s="78"/>
    </x:row>
    <x:row r="38">
      <x:c r="B38" s="78"/>
      <x:c r="C38" s="78"/>
      <x:c r="D38" s="78"/>
      <x:c r="E38" s="78"/>
      <x:c r="F38" s="78"/>
      <x:c r="G38" s="78"/>
      <x:c r="H38" s="78"/>
      <x:c r="I38" s="78"/>
      <x:c r="J38" s="78"/>
      <x:c r="K38" s="78"/>
    </x:row>
    <x:row r="39">
      <x:c r="B39" s="78"/>
      <x:c r="C39" s="78"/>
      <x:c r="D39" s="78"/>
      <x:c r="E39" s="78"/>
      <x:c r="F39" s="78"/>
      <x:c r="G39" s="78"/>
      <x:c r="H39" s="78"/>
      <x:c r="I39" s="78"/>
      <x:c r="J39" s="78"/>
      <x:c r="K39" s="78"/>
    </x:row>
    <x:row r="40">
      <x:c r="B40" s="78"/>
      <x:c r="C40" s="78"/>
      <x:c r="D40" s="78"/>
      <x:c r="E40" s="78"/>
      <x:c r="F40" s="78"/>
      <x:c r="G40" s="78"/>
      <x:c r="H40" s="78"/>
      <x:c r="I40" s="78"/>
      <x:c r="J40" s="78"/>
      <x:c r="K40" s="78"/>
    </x:row>
    <x:row r="41">
      <x:c r="B41" s="78"/>
      <x:c r="C41" s="78"/>
      <x:c r="D41" s="78"/>
      <x:c r="E41" s="78"/>
      <x:c r="F41" s="78"/>
      <x:c r="G41" s="78"/>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J3"/>
  </x:mergeCells>
  <x:pageMargins left="0.7" right="0.7" top="0.75" bottom="0.75" header="0.3" footer="0.3"/>
</x:worksheet>
</file>

<file path=xl/worksheets/sheet8.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52" hidden="0" customWidth="1"/>
    <x:col min="8" max="8" width="18" hidden="0" customWidth="1"/>
    <x:col min="9" max="9" width="18" hidden="0" customWidth="1"/>
    <x:col min="10" max="10" width="34" hidden="0" customWidth="1"/>
    <x:col min="11" max="11" width="20" hidden="0" customWidth="1"/>
  </x:cols>
  <x:sheetData>
    <x:row r="1">
      <x:c r="B1" s="78"/>
      <x:c r="C1" s="78"/>
      <x:c r="D1" s="78"/>
      <x:c r="E1" s="78"/>
      <x:c r="F1" s="78"/>
      <x:c r="G1" s="78"/>
      <x:c r="H1" s="78"/>
      <x:c r="I1" s="78"/>
      <x:c r="J1" s="78"/>
      <x:c r="K1" s="78"/>
    </x:row>
    <x:row r="2">
      <x:c r="B2" s="79" t="str">
        <x:v>SOURCE REGISTER</x:v>
      </x:c>
      <x:c r="C2" s="79"/>
      <x:c r="D2" s="79"/>
      <x:c r="E2" s="79"/>
      <x:c r="F2" s="79"/>
      <x:c r="G2" s="79"/>
      <x:c r="H2" s="79"/>
      <x:c r="I2" s="79"/>
      <x:c r="J2" s="79"/>
      <x:c r="K2" s="78"/>
    </x:row>
    <x:row r="3">
      <x:c r="B3" s="79"/>
      <x:c r="C3" s="79"/>
      <x:c r="D3" s="79"/>
      <x:c r="E3" s="79"/>
      <x:c r="F3" s="79"/>
      <x:c r="G3" s="79"/>
      <x:c r="H3" s="79"/>
      <x:c r="I3" s="79"/>
      <x:c r="J3" s="79"/>
      <x:c r="K3" s="78"/>
    </x:row>
    <x:row r="4">
      <x:c r="B4" s="78"/>
      <x:c r="C4" s="78"/>
      <x:c r="D4" s="78"/>
      <x:c r="E4" s="78"/>
      <x:c r="F4" s="78"/>
      <x:c r="G4" s="78"/>
      <x:c r="H4" s="78"/>
      <x:c r="I4" s="78"/>
      <x:c r="J4" s="78"/>
      <x:c r="K4" s="78"/>
    </x:row>
    <x:row r="5">
      <x:c r="B5" s="28" t="str">
        <x:v>Source ID</x:v>
      </x:c>
      <x:c r="C5" s="28" t="str">
        <x:v>Authority / Publisher</x:v>
      </x:c>
      <x:c r="D5" s="28" t="str">
        <x:v>Document / Service</x:v>
      </x:c>
      <x:c r="E5" s="28" t="str">
        <x:v>Edition / Date</x:v>
      </x:c>
      <x:c r="F5" s="28" t="str">
        <x:v>Used For</x:v>
      </x:c>
      <x:c r="G5" s="28" t="str">
        <x:v>URL</x:v>
      </x:c>
      <x:c r="H5" s="28" t="str">
        <x:v>Retrieved / Verified</x:v>
      </x:c>
      <x:c r="I5" s="28" t="str">
        <x:v>Appendix Ref</x:v>
      </x:c>
      <x:c r="J5" s="28" t="str">
        <x:v>Notes</x:v>
      </x:c>
      <x:c r="K5" s="78"/>
    </x:row>
    <x:row r="6">
      <x:c r="B6" s="78" t="str">
        <x:v>SRC-01</x:v>
      </x:c>
      <x:c r="C6" s="78" t="str">
        <x:v>California Building Standards Commission</x:v>
      </x:c>
      <x:c r="D6" s="78" t="str">
        <x:v>2025 California Building Standards Code</x:v>
      </x:c>
      <x:c r="E6" s="78" t="str">
        <x:v>2025 / eff. 01-01-2026</x:v>
      </x:c>
      <x:c r="F6" s="78" t="str">
        <x:v>Governing California code</x:v>
      </x:c>
      <x:c r="G6" s="78" t="str">
        <x:v>https://www.dgs.ca.gov/bsc/codes</x:v>
      </x:c>
      <x:c r="H6" s="102" t="str"/>
      <x:c r="I6" s="102" t="str"/>
      <x:c r="J6" s="78" t="str">
        <x:v>Official state code portal</x:v>
      </x:c>
      <x:c r="K6" s="78"/>
    </x:row>
    <x:row r="7">
      <x:c r="B7" s="78" t="str">
        <x:v>SRC-02</x:v>
      </x:c>
      <x:c r="C7" s="78" t="str">
        <x:v>U.S. Geological Survey</x:v>
      </x:c>
      <x:c r="D7" s="78" t="str">
        <x:v>ASCE 7-22 Designmap Web Service</x:v>
      </x:c>
      <x:c r="E7" s="78" t="str">
        <x:v>ASCE 7-22</x:v>
      </x:c>
      <x:c r="F7" s="78" t="str">
        <x:v>Seismic hazard parameters</x:v>
      </x:c>
      <x:c r="G7" s="78" t="str">
        <x:v>https://earthquake.usgs.gov/ws/building-codes/asce7-22</x:v>
      </x:c>
      <x:c r="H7" s="102" t="str"/>
      <x:c r="I7" s="102" t="str"/>
      <x:c r="J7" s="78" t="str">
        <x:v>API / source of hazard data</x:v>
      </x:c>
      <x:c r="K7" s="78"/>
    </x:row>
    <x:row r="8">
      <x:c r="B8" s="78" t="str">
        <x:v>SRC-03</x:v>
      </x:c>
      <x:c r="C8" s="78" t="str">
        <x:v>U.S. Geological Survey</x:v>
      </x:c>
      <x:c r="D8" s="78" t="str">
        <x:v>Design Ground Motions Portal</x:v>
      </x:c>
      <x:c r="E8" s="78" t="str">
        <x:v>Current</x:v>
      </x:c>
      <x:c r="F8" s="78" t="str">
        <x:v>Seismic source documentation</x:v>
      </x:c>
      <x:c r="G8" s="78" t="str">
        <x:v>https://www.usgs.gov/programs/earthquake-hazards/design-ground-motions-portal</x:v>
      </x:c>
      <x:c r="H8" s="102" t="str"/>
      <x:c r="I8" s="102" t="str"/>
      <x:c r="J8" s="78" t="str">
        <x:v>Lists ASCE 7-22 service and underlying data</x:v>
      </x:c>
      <x:c r="K8" s="78"/>
    </x:row>
    <x:row r="9">
      <x:c r="B9" s="78" t="str">
        <x:v>SRC-04</x:v>
      </x:c>
      <x:c r="C9" s="78" t="str">
        <x:v>American Wood Council</x:v>
      </x:c>
      <x:c r="D9" s="78" t="str">
        <x:v>National Design Specification (NDS)</x:v>
      </x:c>
      <x:c r="E9" s="78" t="str">
        <x:v>2024</x:v>
      </x:c>
      <x:c r="F9" s="78" t="str">
        <x:v>Wood member design</x:v>
      </x:c>
      <x:c r="G9" s="78" t="str">
        <x:v>https://awc.org/resources/2024-nds/</x:v>
      </x:c>
      <x:c r="H9" s="102" t="str"/>
      <x:c r="I9" s="102" t="str"/>
      <x:c r="J9" s="78" t="str">
        <x:v>Use official standard / licensed copy</x:v>
      </x:c>
      <x:c r="K9" s="78"/>
    </x:row>
    <x:row r="10">
      <x:c r="B10" s="78" t="str">
        <x:v>SRC-05</x:v>
      </x:c>
      <x:c r="C10" s="78" t="str">
        <x:v>American Wood Council</x:v>
      </x:c>
      <x:c r="D10" s="78" t="str">
        <x:v>NDS Supplement</x:v>
      </x:c>
      <x:c r="E10" s="78" t="str">
        <x:v>2024</x:v>
      </x:c>
      <x:c r="F10" s="78" t="str">
        <x:v>Reference design values</x:v>
      </x:c>
      <x:c r="G10" s="78" t="str">
        <x:v>https://awc.org/resources/2024-nds-supplement/</x:v>
      </x:c>
      <x:c r="H10" s="102" t="str"/>
      <x:c r="I10" s="102" t="str"/>
      <x:c r="J10" s="78" t="str">
        <x:v>Do not mix editions</x:v>
      </x:c>
      <x:c r="K10" s="78"/>
    </x:row>
    <x:row r="11">
      <x:c r="B11" s="78" t="str">
        <x:v>SRC-06</x:v>
      </x:c>
      <x:c r="C11" s="78" t="str">
        <x:v>American Wood Council</x:v>
      </x:c>
      <x:c r="D11" s="78" t="str">
        <x:v>Special Design Provisions for Wind &amp; Seismic</x:v>
      </x:c>
      <x:c r="E11" s="78" t="str">
        <x:v>2021</x:v>
      </x:c>
      <x:c r="F11" s="78" t="str">
        <x:v>Shear walls / diaphragms / lateral</x:v>
      </x:c>
      <x:c r="G11" s="78" t="str">
        <x:v>https://awc.org/resources/2021-sdpws/</x:v>
      </x:c>
      <x:c r="H11" s="102" t="str"/>
      <x:c r="I11" s="102" t="str"/>
      <x:c r="J11" s="78" t="str">
        <x:v>Current code-referenced lateral wood standard</x:v>
      </x:c>
      <x:c r="K11" s="78"/>
    </x:row>
    <x:row r="12">
      <x:c r="B12" s="78" t="str">
        <x:v>SRC-07</x:v>
      </x:c>
      <x:c r="C12" s="78" t="str">
        <x:v>American Wood Council</x:v>
      </x:c>
      <x:c r="D12" s="78" t="str">
        <x:v>Wood Frame Construction Manual</x:v>
      </x:c>
      <x:c r="E12" s="78" t="str">
        <x:v>2024</x:v>
      </x:c>
      <x:c r="F12" s="78" t="str">
        <x:v>One- and two-family wood reference</x:v>
      </x:c>
      <x:c r="G12" s="78" t="str">
        <x:v>https://awc.org/resources/2024-wfcm/</x:v>
      </x:c>
      <x:c r="H12" s="102" t="str"/>
      <x:c r="I12" s="102" t="str"/>
      <x:c r="J12" s="78" t="str">
        <x:v>2024 IBC/IRC reference; ASCE 7-22 load basis</x:v>
      </x:c>
      <x:c r="K12" s="78"/>
    </x:row>
    <x:row r="13">
      <x:c r="B13" s="78" t="str">
        <x:v>SRC-08</x:v>
      </x:c>
      <x:c r="C13" s="78" t="str">
        <x:v>Authority Having Jurisdiction</x:v>
      </x:c>
      <x:c r="D13" s="78" t="str">
        <x:v>Local amendments / design criteria</x:v>
      </x:c>
      <x:c r="E13" s="78" t="str">
        <x:v>Project-specific</x:v>
      </x:c>
      <x:c r="F13" s="78" t="str">
        <x:v>Local amendments / hazard criteria</x:v>
      </x:c>
      <x:c r="G13" s="78" t="str"/>
      <x:c r="H13" s="102" t="str"/>
      <x:c r="I13" s="102" t="str"/>
      <x:c r="J13" s="78" t="str">
        <x:v>Attach local bulletin or ordinance when applicable</x:v>
      </x:c>
      <x:c r="K13" s="78"/>
    </x:row>
    <x:row r="14">
      <x:c r="B14" s="152" t="str">
        <x:v>SRC-09</x:v>
      </x:c>
      <x:c r="C14" s="152" t="str">
        <x:v>American Society of Civil Engineers</x:v>
      </x:c>
      <x:c r="D14" s="152" t="str">
        <x:v>ASCE/SEI 7-22 — Minimum Design Loads and Associated Criteria for Buildings and Other Structures</x:v>
      </x:c>
      <x:c r="E14" s="152" t="str">
        <x:v>2022</x:v>
      </x:c>
      <x:c r="F14" s="152" t="str">
        <x:v>Load combinations / hazard standard</x:v>
      </x:c>
      <x:c r="G14" s="152" t="str">
        <x:v>https://www.asce.org/publications-and-news/codes-and-standards/asce-sei-7-22</x:v>
      </x:c>
      <x:c r="H14" s="152" t="str">
        <x:v>2026-09-18</x:v>
      </x:c>
      <x:c r="I14" s="152"/>
      <x:c r="J14" s="152" t="str">
        <x:v>Primary standard page; exact clauses in licensed standard.</x:v>
      </x:c>
      <x:c r="K14" s="78"/>
    </x:row>
    <x:row r="15">
      <x:c r="B15" s="152" t="str">
        <x:v>SRC-10</x:v>
      </x:c>
      <x:c r="C15" s="152" t="str">
        <x:v>International Code Council</x:v>
      </x:c>
      <x:c r="D15" s="152" t="str">
        <x:v>Demystifying Loads for Building Officials — 2024 IBC / ASCE 7-22</x:v>
      </x:c>
      <x:c r="E15" s="152" t="str">
        <x:v>2024</x:v>
      </x:c>
      <x:c r="F15" s="152" t="str">
        <x:v>Independent coefficient cross-check for Ch. 2 load combinations</x:v>
      </x:c>
      <x:c r="G15" s="152" t="str">
        <x:v>https://www.iccsafe.org/wp-content/uploads/DemystifyingLoads_24IBC_ASCE7-22_EC-85122-Part1.pdf</x:v>
      </x:c>
      <x:c r="H15" s="152" t="str">
        <x:v>2026-09-18</x:v>
      </x:c>
      <x:c r="I15" s="152"/>
      <x:c r="J15" s="152" t="str">
        <x:v>Secondary training reference; not a substitute for the governing standard.</x:v>
      </x:c>
      <x:c r="K15" s="78"/>
    </x:row>
    <x:row r="16">
      <x:c r="B16" s="78" t="str">
        <x:v>SRC-11</x:v>
      </x:c>
      <x:c r="C16" s="78" t="str">
        <x:v>American Society of Civil Engineers</x:v>
      </x:c>
      <x:c r="D16" s="78" t="str">
        <x:v>ASCE Hazard Tool / API</x:v>
      </x:c>
      <x:c r="E16" s="78" t="str">
        <x:v>Current / ASCE 7-22</x:v>
      </x:c>
      <x:c r="F16" s="78" t="str">
        <x:v>Location-based basic wind speed V</x:v>
      </x:c>
      <x:c r="G16" s="78" t="str">
        <x:v>https://www.asce.org/publications-and-news/asce-hazard-tool</x:v>
      </x:c>
      <x:c r="H16" s="78" t="str">
        <x:v>2026-09-18</x:v>
      </x:c>
      <x:c r="I16" s="78"/>
      <x:c r="J16" s="78" t="str">
        <x:v>Primary hazard source; API access may require subscription.</x:v>
      </x:c>
      <x:c r="K16" s="78"/>
    </x:row>
    <x:row r="17">
      <x:c r="B17" s="78" t="str">
        <x:v>SRC-12</x:v>
      </x:c>
      <x:c r="C17" s="78" t="str">
        <x:v>American Society of Civil Engineers</x:v>
      </x:c>
      <x:c r="D17" s="78" t="str">
        <x:v>ASCE 7-22 Chapter 26 — Wind General Requirements</x:v>
      </x:c>
      <x:c r="E17" s="78" t="str">
        <x:v>2022</x:v>
      </x:c>
      <x:c r="F17" s="78" t="str">
        <x:v>Wind parameters, exposure, qh, enclosure</x:v>
      </x:c>
      <x:c r="G17" s="78" t="str">
        <x:v>https://amplify.asce.org/content/standard/9780784415788/part/provisions/standard-chapter/s26</x:v>
      </x:c>
      <x:c r="H17" s="78" t="str">
        <x:v>2026-09-18</x:v>
      </x:c>
      <x:c r="I17" s="78"/>
      <x:c r="J17" s="78" t="str">
        <x:v>Primary standard landing page; exact clauses/figures from licensed standard.</x:v>
      </x:c>
      <x:c r="K17" s="78"/>
    </x:row>
    <x:row r="18">
      <x:c r="B18" s="78" t="str">
        <x:v>SRC-13</x:v>
      </x:c>
      <x:c r="C18" s="78" t="str">
        <x:v>FEMA / NIST</x:v>
      </x:c>
      <x:c r="D18" s="78" t="str">
        <x:v>Design Guide for New Tornado Load Requirements in ASCE 7-22</x:v>
      </x:c>
      <x:c r="E18" s="78" t="str">
        <x:v>2023</x:v>
      </x:c>
      <x:c r="F18" s="78" t="str">
        <x:v>Independent QA of ASCE 7-22 wind/tornado parameter handling</x:v>
      </x:c>
      <x:c r="G18" s="78" t="str">
        <x:v>https://www.fema.gov/sites/default/files/documents/fema_asce-7-22-tornado-loads-design-guide_012023.pdf</x:v>
      </x:c>
      <x:c r="H18" s="78" t="str">
        <x:v>2026-09-18</x:v>
      </x:c>
      <x:c r="I18" s="78"/>
      <x:c r="J18" s="78" t="str">
        <x:v>Secondary QA; confirms q equation structure, Kd separation, and internal-pressure examples.</x:v>
      </x:c>
      <x:c r="K18" s="78"/>
    </x:row>
    <x:row r="19">
      <x:c r="B19" s="78" t="str">
        <x:v>SRC-14</x:v>
      </x:c>
      <x:c r="C19" s="78" t="str">
        <x:v>International Code Council / S.K. Ghosh Associates</x:v>
      </x:c>
      <x:c r="D19" s="78" t="str">
        <x:v>Ever-Changing Structural Provisions of Our Building Codes — Wind</x:v>
      </x:c>
      <x:c r="E19" s="78" t="str">
        <x:v>2023</x:v>
      </x:c>
      <x:c r="F19" s="78" t="str">
        <x:v>Independent QA of revised Kz values and Kd relocation</x:v>
      </x:c>
      <x:c r="G19" s="78" t="str">
        <x:v>https://www.iccsafe.org/wp-content/uploads/Ever-changing-Structural-Provisions-of-our-Building-Codes-Wind.pdf</x:v>
      </x:c>
      <x:c r="H19" s="78" t="str">
        <x:v>2026-09-18</x:v>
      </x:c>
      <x:c r="I19" s="78"/>
      <x:c r="J19" s="78" t="str">
        <x:v>Secondary QA only; not governing.</x:v>
      </x:c>
      <x:c r="K19" s="78"/>
    </x:row>
    <x:row r="20">
      <x:c r="B20" s="78" t="str">
        <x:v>SRC-15</x:v>
      </x:c>
      <x:c r="C20" s="78" t="str">
        <x:v>U.S. Geological Survey</x:v>
      </x:c>
      <x:c r="D20" s="78" t="str">
        <x:v>ASCE7-22 Web Service API Documentation</x:v>
      </x:c>
      <x:c r="E20" s="78" t="str">
        <x:v>Current</x:v>
      </x:c>
      <x:c r="F20" s="78" t="str">
        <x:v>Ss, S1, SDS, SD1, TL, SDC, spectra</x:v>
      </x:c>
      <x:c r="G20" s="78" t="str">
        <x:v>https://earthquake.usgs.gov/ws/building-codes/asce7-22</x:v>
      </x:c>
      <x:c r="H20" s="78" t="str">
        <x:v>2026-09-18</x:v>
      </x:c>
      <x:c r="I20" s="78"/>
      <x:c r="J20" s="78" t="str">
        <x:v>Primary seismic hazard service documentation; USGS labels software preliminary/provisional.</x:v>
      </x:c>
      <x:c r="K20" s="78"/>
    </x:row>
    <x:row r="21">
      <x:c r="B21" s="78" t="str">
        <x:v>SRC-16</x:v>
      </x:c>
      <x:c r="C21" s="78" t="str">
        <x:v>American Society of Civil Engineers</x:v>
      </x:c>
      <x:c r="D21" s="78" t="str">
        <x:v>ASCE/SEI 7-22 Chapter 12 — Seismic Design Requirements for Building Structures</x:v>
      </x:c>
      <x:c r="E21" s="78" t="str">
        <x:v>2022</x:v>
      </x:c>
      <x:c r="F21" s="78" t="str">
        <x:v>ELF procedure, period, distribution, drift</x:v>
      </x:c>
      <x:c r="G21" s="78" t="str">
        <x:v>https://amplify.asce.org/content/standard/9780784415788/part/provisions/standard-chapter/s12</x:v>
      </x:c>
      <x:c r="H21" s="78" t="str">
        <x:v>2026-09-18</x:v>
      </x:c>
      <x:c r="I21" s="78"/>
      <x:c r="J21" s="78" t="str">
        <x:v>Primary standard landing page; exact provisions require licensed standard.</x:v>
      </x:c>
      <x:c r="K21" s="78"/>
    </x:row>
    <x:row r="22">
      <x:c r="B22" s="78" t="str">
        <x:v>SRC-17</x:v>
      </x:c>
      <x:c r="C22" s="78" t="str">
        <x:v>International Code Council</x:v>
      </x:c>
      <x:c r="D22" s="78" t="str">
        <x:v>Demystifying Loads for Building Officials — Earthquake Loads</x:v>
      </x:c>
      <x:c r="E22" s="78" t="str">
        <x:v>2024</x:v>
      </x:c>
      <x:c r="F22" s="78" t="str">
        <x:v>Independent Method 2 equation cross-check</x:v>
      </x:c>
      <x:c r="G22" s="78" t="str">
        <x:v>https://www.iccsafe.org/wp-content/uploads/DemystifyingLoads_24IBC_ASCE7-22_EC-85122-Part2.pdf</x:v>
      </x:c>
      <x:c r="H22" s="78" t="str">
        <x:v>2026-09-18</x:v>
      </x:c>
      <x:c r="I22" s="78"/>
      <x:c r="J22" s="78" t="str">
        <x:v>Secondary QA/training source; not governing.</x:v>
      </x:c>
      <x:c r="K22" s="78"/>
    </x:row>
    <x:row r="23">
      <x:c r="B23" s="78" t="str">
        <x:v>SRC-18</x:v>
      </x:c>
      <x:c r="C23" s="78" t="str">
        <x:v>FEMA</x:v>
      </x:c>
      <x:c r="D23" s="78" t="str">
        <x:v>NEHRP Seismic Design Technical Brief / Design Examples, Volume 1</x:v>
      </x:c>
      <x:c r="E23" s="78" t="str">
        <x:v>Current publication</x:v>
      </x:c>
      <x:c r="F23" s="78" t="str">
        <x:v>Independent ELF/base-shear example verification</x:v>
      </x:c>
      <x:c r="G23" s="78" t="str">
        <x:v>https://www.fema.gov/sites/default/files/documents/fema_nehrp_design-examples-training-materials_volume-1.pdf</x:v>
      </x:c>
      <x:c r="H23" s="78" t="str">
        <x:v>2026-09-18</x:v>
      </x:c>
      <x:c r="I23" s="78"/>
      <x:c r="J23" s="78" t="str">
        <x:v>Secondary independent worked-example source.</x:v>
      </x:c>
      <x:c r="K23" s="78"/>
    </x:row>
    <x:row r="24">
      <x:c r="B24" s="78" t="str">
        <x:v>SRC-19</x:v>
      </x:c>
      <x:c r="C24" s="78" t="str">
        <x:v>Tekla Structures / Trimble</x:v>
      </x:c>
      <x:c r="D24" s="78" t="str">
        <x:v>Structural Designer Engineer's Handbook — Seismic Analysis and Design</x:v>
      </x:c>
      <x:c r="E24" s="78" t="str">
        <x:v>2025</x:v>
      </x:c>
      <x:c r="F24" s="78" t="str">
        <x:v>Independent Ev = 0.2 SDS D implementation cross-check</x:v>
      </x:c>
      <x:c r="G24" s="78" t="str">
        <x:v>https://support.tekla.com/dist/sxf/document/tekla-structural-designer-2025-engineers-handbooks.pdf</x:v>
      </x:c>
      <x:c r="H24" s="78" t="str">
        <x:v>2026-09-18</x:v>
      </x:c>
      <x:c r="I24" s="78"/>
      <x:c r="J24" s="78" t="str">
        <x:v>Software implementation QA; not governing.</x:v>
      </x:c>
      <x:c r="K24" s="78"/>
    </x:row>
    <x:row r="25">
      <x:c r="B25" s="78" t="str">
        <x:v>SRC-20</x:v>
      </x:c>
      <x:c r="C25" s="78" t="str">
        <x:v>American Wood Council</x:v>
      </x:c>
      <x:c r="D25" s="78" t="str">
        <x:v>2024 NDS Design Standards Release / change summary</x:v>
      </x:c>
      <x:c r="E25" s="78" t="str">
        <x:v>2024</x:v>
      </x:c>
      <x:c r="F25" s="78" t="str">
        <x:v>Confirms 2024 NDS as current wood standard and flags revised shear provisions</x:v>
      </x:c>
      <x:c r="G25" s="78" t="str">
        <x:v>https://awc.org/about/press/awc-2024-design-standards-available-online/</x:v>
      </x:c>
      <x:c r="H25" s="78" t="str">
        <x:v>2026-09-18</x:v>
      </x:c>
      <x:c r="I25" s="78"/>
      <x:c r="J25" s="78" t="str">
        <x:v>Secondary scope/edition verification; governing equations remain the licensed 2024 NDS.</x:v>
      </x:c>
      <x:c r="K25" s="78"/>
    </x:row>
    <x:row r="26">
      <x:c r="B26" s="78" t="str">
        <x:v>SRC-21</x:v>
      </x:c>
      <x:c r="C26" s="78" t="str">
        <x:v>American Wood Council</x:v>
      </x:c>
      <x:c r="D26" s="78" t="str">
        <x:v>2024 NDS Supplement Updates &amp; Errata</x:v>
      </x:c>
      <x:c r="E26" s="78" t="str">
        <x:v>2024 / current updates</x:v>
      </x:c>
      <x:c r="F26" s="78" t="str">
        <x:v>Reference-design-value errata control</x:v>
      </x:c>
      <x:c r="G26" s="78" t="str">
        <x:v>https://awc.org/wp-content/uploads/2024/02/2024NDS-Supplement-Updates-Errata_20240212.pdf</x:v>
      </x:c>
      <x:c r="H26" s="78" t="str">
        <x:v>2026-09-18</x:v>
      </x:c>
      <x:c r="I26" s="78"/>
      <x:c r="J26" s="78" t="str">
        <x:v>Check current errata whenever reference design values are populated.</x:v>
      </x:c>
      <x:c r="K26" s="78"/>
    </x:row>
    <x:row r="27">
      <x:c r="B27" s="78" t="str">
        <x:v>SRC-22</x:v>
      </x:c>
      <x:c r="C27" s="78" t="str">
        <x:v>American Wood Council</x:v>
      </x:c>
      <x:c r="D27" s="78" t="str">
        <x:v>2018 NDS Commentary Appendix H — Lateral Stability of Columns</x:v>
      </x:c>
      <x:c r="E27" s="78" t="str">
        <x:v>2018 / public historical commentary</x:v>
      </x:c>
      <x:c r="F27" s="78" t="str">
        <x:v>Independent public equation cross-check for column stability</x:v>
      </x:c>
      <x:c r="G27" s="78" t="str">
        <x:v>https://awc.org/wp-content/uploads/2021/10/AWC_NDS2018-withCommentary_20210113_AWCWebsite_Appendix.pdf</x:v>
      </x:c>
      <x:c r="H27" s="78" t="str">
        <x:v>2026-09-18</x:v>
      </x:c>
      <x:c r="I27" s="78"/>
      <x:c r="J27" s="78" t="str">
        <x:v>Secondary QA only; 2024 NDS remains governing. Column stability equation structure is cross-checked here.</x:v>
      </x:c>
      <x:c r="K27" s="78"/>
    </x:row>
    <x:row r="28">
      <x:c r="B28" s="152" t="str">
        <x:v>SRC-23</x:v>
      </x:c>
      <x:c r="C28" s="152" t="str">
        <x:v>American Wood Council</x:v>
      </x:c>
      <x:c r="D28" s="152" t="str">
        <x:v>2021 Special Design Provisions for Wind and Seismic (SDPWS)</x:v>
      </x:c>
      <x:c r="E28" s="152" t="str">
        <x:v>2021</x:v>
      </x:c>
      <x:c r="F28" s="152" t="str">
        <x:v>Governing wood lateral-force standard; shear-wall and diaphragm design basis</x:v>
      </x:c>
      <x:c r="G28" s="152" t="str">
        <x:v>https://awc.org/resources/2021-sdpws/</x:v>
      </x:c>
      <x:c r="H28" s="152" t="str">
        <x:v>2026-09-18</x:v>
      </x:c>
      <x:c r="I28" s="152"/>
      <x:c r="J28" s="152" t="str">
        <x:v>Primary standard landing page; exact assembly capacities require licensed/view-only standard or approved product source.</x:v>
      </x:c>
      <x:c r="K28" s="78"/>
    </x:row>
    <x:row r="29">
      <x:c r="B29" s="152" t="str">
        <x:v>SRC-24</x:v>
      </x:c>
      <x:c r="C29" s="152" t="str">
        <x:v>American Wood Council</x:v>
      </x:c>
      <x:c r="D29" s="152" t="str">
        <x:v>2021 SDPWS with Commentary</x:v>
      </x:c>
      <x:c r="E29" s="152" t="str">
        <x:v>2021</x:v>
      </x:c>
      <x:c r="F29" s="152" t="str">
        <x:v>Public equation cross-check for shear-wall and diaphragm deflection and aspect-ratio provisions</x:v>
      </x:c>
      <x:c r="G29" s="152" t="str">
        <x:v>https://awc.org/wp-content/uploads/2021/12/AWC_SDPWS2021_withCommentary_20211108_AWCWebsite_Commentary.pdf</x:v>
      </x:c>
      <x:c r="H29" s="152" t="str">
        <x:v>2026-09-18</x:v>
      </x:c>
      <x:c r="I29" s="152"/>
      <x:c r="J29" s="152" t="str">
        <x:v>Secondary explanatory source; official standard controls where any discrepancy exists.</x:v>
      </x:c>
      <x:c r="K29" s="78"/>
    </x:row>
    <x:row r="30">
      <x:c r="B30" s="152" t="str">
        <x:v>SRC-25</x:v>
      </x:c>
      <x:c r="C30" s="152" t="str">
        <x:v>American Wood Council</x:v>
      </x:c>
      <x:c r="D30" s="152" t="str">
        <x:v>FAQ — use of apparent shear stiffness Ga for wind deflection</x:v>
      </x:c>
      <x:c r="E30" s="152" t="str">
        <x:v>2021</x:v>
      </x:c>
      <x:c r="F30" s="152" t="str">
        <x:v>Independent applicability check for Ga in wind calculations</x:v>
      </x:c>
      <x:c r="G30" s="152" t="str">
        <x:v>https://awc.org/faq/can-the-effective-shear-stiffness-values-ga-in-special-design-provisions-for-wind-and-seismic-sdpws-be-used-for-calculation-of-diaphragm-and-shear-wall-deflections-due-to-wind-loads/</x:v>
      </x:c>
      <x:c r="H30" s="152" t="str">
        <x:v>2026-09-18</x:v>
      </x:c>
      <x:c r="I30" s="152"/>
      <x:c r="J30" s="152" t="str">
        <x:v>AWC states tabulated Ga may be used for wind shear-deformation calculations within the stated ASD wind unit-shear range.</x:v>
      </x:c>
      <x:c r="K30" s="78"/>
    </x:row>
    <x:row r="31">
      <x:c r="B31" s="152" t="str">
        <x:v>SRC-26</x:v>
      </x:c>
      <x:c r="C31" s="152" t="str">
        <x:v>WoodWorks</x:v>
      </x:c>
      <x:c r="D31" s="152" t="str">
        <x:v>Introduction to Wood: Structural Lateral Framing Design</x:v>
      </x:c>
      <x:c r="E31" s="152" t="str">
        <x:v>2025</x:v>
      </x:c>
      <x:c r="F31" s="152" t="str">
        <x:v>Independent training-source cross-check of 2021 SDPWS diaphragm deflection equations</x:v>
      </x:c>
      <x:c r="G31" s="152" t="str">
        <x:v>https://www.woodworks.org/wp-content/uploads/presentation_slides_Cloninger_Romanowski_Structural_Lateral_Framing_Design_01.2025.pdf</x:v>
      </x:c>
      <x:c r="H31" s="152" t="str">
        <x:v>2026-09-18</x:v>
      </x:c>
      <x:c r="I31" s="152"/>
      <x:c r="J31" s="152" t="str">
        <x:v>Secondary QA/training reference; not governing.</x:v>
      </x:c>
      <x:c r="K31" s="78"/>
    </x:row>
    <x:row r="32">
      <x:c r="B32" s="152" t="str">
        <x:v>SRC-27</x:v>
      </x:c>
      <x:c r="C32" s="152" t="str">
        <x:v>ASCE</x:v>
      </x:c>
      <x:c r="D32" s="152" t="str">
        <x:v>ASCE/SEI 7-22</x:v>
      </x:c>
      <x:c r="E32" s="152" t="str">
        <x:v>2022</x:v>
      </x:c>
      <x:c r="F32" s="152" t="str">
        <x:v>Lateral demand, drift, torsion, diaphragm and seismic analysis coordination</x:v>
      </x:c>
      <x:c r="G32" s="152" t="str">
        <x:v>https://www.asce.org/publications-and-news/codes-and-standards/asce-sei-7-22</x:v>
      </x:c>
      <x:c r="H32" s="152" t="str">
        <x:v>2026-09-18</x:v>
      </x:c>
      <x:c r="I32" s="152"/>
      <x:c r="J32" s="152" t="str">
        <x:v>Use with project-specific hazard data and adopted California code.</x:v>
      </x:c>
      <x:c r="K32" s="78"/>
    </x:row>
    <x:row r="33">
      <x:c r="B33" s="152" t="str">
        <x:v>SRC-28</x:v>
      </x:c>
      <x:c r="C33" s="152" t="str">
        <x:v>American Wood Council</x:v>
      </x:c>
      <x:c r="D33" s="152" t="str">
        <x:v>Connection Calculator</x:v>
      </x:c>
      <x:c r="E33" s="152" t="str">
        <x:v>2024 NDS implementation</x:v>
      </x:c>
      <x:c r="F33" s="152" t="str">
        <x:v>Primary independent single-fastener lateral/withdrawal capacity calculation path</x:v>
      </x:c>
      <x:c r="G33" s="152" t="str">
        <x:v>https://awc.org/resources/connection-calculator/</x:v>
      </x:c>
      <x:c r="H33" s="152" t="str">
        <x:v>2026-09-18</x:v>
      </x:c>
      <x:c r="I33" s="152"/>
      <x:c r="J33" s="152" t="str">
        <x:v>Calculates single bolts, nails, lag screws and wood screws per 2024 NDS; project inputs and output record should be retained.</x:v>
      </x:c>
      <x:c r="K33" s="78"/>
    </x:row>
    <x:row r="34">
      <x:c r="B34" s="152" t="str">
        <x:v>SRC-29</x:v>
      </x:c>
      <x:c r="C34" s="152" t="str">
        <x:v>American Wood Council</x:v>
      </x:c>
      <x:c r="D34" s="152" t="str">
        <x:v>AWC Releases Updates to Connection Calculator</x:v>
      </x:c>
      <x:c r="E34" s="152" t="str">
        <x:v>2025</x:v>
      </x:c>
      <x:c r="F34" s="152" t="str">
        <x:v>Confirms current calculator uses 2024 NDS and includes head pull-through provisions</x:v>
      </x:c>
      <x:c r="G34" s="152" t="str">
        <x:v>https://awc.org/about/press/awc-releases-updates-to-connection-calculator/</x:v>
      </x:c>
      <x:c r="H34" s="152" t="str">
        <x:v>2026-09-18</x:v>
      </x:c>
      <x:c r="I34" s="152"/>
      <x:c r="J34" s="152" t="str">
        <x:v>Edition/scope verification source; not a substitute for the actual project calculation output.</x:v>
      </x:c>
      <x:c r="K34" s="78"/>
    </x:row>
    <x:row r="35">
      <x:c r="B35" s="152" t="str">
        <x:v>SRC-30</x:v>
      </x:c>
      <x:c r="C35" s="152" t="str">
        <x:v>American Wood Council</x:v>
      </x:c>
      <x:c r="D35" s="152" t="str">
        <x:v>2024 NDS Errata and Addenda — 03.28.25</x:v>
      </x:c>
      <x:c r="E35" s="152" t="str">
        <x:v>2025</x:v>
      </x:c>
      <x:c r="F35" s="152" t="str">
        <x:v>Public group-action factor equation and corrected gamma diameter exponent</x:v>
      </x:c>
      <x:c r="G35" s="152" t="str">
        <x:v>https://web-media.awc.org/wp-content/uploads/2025/03/31134949/2024-NDS-Errata-and-Addenda-03.28.25.pdf</x:v>
      </x:c>
      <x:c r="H35" s="152" t="str">
        <x:v>2026-09-18</x:v>
      </x:c>
      <x:c r="I35" s="152"/>
      <x:c r="J35" s="152" t="str">
        <x:v>Used to independently implement/validate Cg equation; official current NDS + errata control.</x:v>
      </x:c>
      <x:c r="K35" s="78"/>
    </x:row>
    <x:row r="36">
      <x:c r="B36" s="152" t="str">
        <x:v>SRC-31</x:v>
      </x:c>
      <x:c r="C36" s="152" t="str">
        <x:v>Simpson Strong-Tie</x:v>
      </x:c>
      <x:c r="D36" s="152" t="str">
        <x:v>How We Determine Allowable Loads</x:v>
      </x:c>
      <x:c r="E36" s="152" t="str">
        <x:v>Current</x:v>
      </x:c>
      <x:c r="F36" s="152" t="str">
        <x:v>Secondary explanation of tested connector/holdown allowable-load basis</x:v>
      </x:c>
      <x:c r="G36" s="152" t="str">
        <x:v>https://www.strongtie.com/products/connectors/wood-construction-connectors/technical-notes/allowable-loads</x:v>
      </x:c>
      <x:c r="H36" s="152" t="str">
        <x:v>2026-09-18</x:v>
      </x:c>
      <x:c r="I36" s="152"/>
      <x:c r="J36" s="152" t="str">
        <x:v>Secondary manufacturer technical reference; project product must use its current catalog/evaluation report.</x:v>
      </x:c>
      <x:c r="K36" s="78"/>
    </x:row>
    <x:row r="37">
      <x:c r="B37" s="152" t="str">
        <x:v>SRC-32</x:v>
      </x:c>
      <x:c r="C37" s="152" t="str">
        <x:v>Simpson Strong-Tie</x:v>
      </x:c>
      <x:c r="D37" s="152" t="str">
        <x:v>General Notes for Holdowns and Tension Ties</x:v>
      </x:c>
      <x:c r="E37" s="152" t="str">
        <x:v>Current</x:v>
      </x:c>
      <x:c r="F37" s="152" t="str">
        <x:v>Secondary holdown deformation/reference-height cross-check</x:v>
      </x:c>
      <x:c r="G37" s="152" t="str">
        <x:v>https://www.strongtie.com/products/connectors/wood-construction-connectors/technical-notes/general-notes-for-holdowns-and-tensionties</x:v>
      </x:c>
      <x:c r="H37" s="152" t="str">
        <x:v>2026-09-18</x:v>
      </x:c>
      <x:c r="I37" s="152"/>
      <x:c r="J37" s="152" t="str">
        <x:v>Notes that published deflection can include holdown/fastener/rod deformation at a stated rod height; additional rod elongation may need accounting.</x:v>
      </x:c>
      <x:c r="K37" s="78"/>
    </x:row>
    <x:row r="38">
      <x:c r="B38" s="152" t="str">
        <x:v>SRC-33</x:v>
      </x:c>
      <x:c r="C38" s="152" t="str">
        <x:v>American Wood Council</x:v>
      </x:c>
      <x:c r="D38" s="152" t="str">
        <x:v>2024 NDS</x:v>
      </x:c>
      <x:c r="E38" s="152" t="str">
        <x:v>2024</x:v>
      </x:c>
      <x:c r="F38" s="152" t="str">
        <x:v>Governing wood connection provisions</x:v>
      </x:c>
      <x:c r="G38" s="152" t="str">
        <x:v>https://awc.org/resources/2024-nds/</x:v>
      </x:c>
      <x:c r="H38" s="152" t="str">
        <x:v>2026-09-18</x:v>
      </x:c>
      <x:c r="I38" s="152"/>
      <x:c r="J38" s="152" t="str">
        <x:v>Licensed/view-only standard controls; do not mix provisions/design values from other editions.</x:v>
      </x:c>
      <x:c r="K38" s="78"/>
    </x:row>
    <x:row r="39">
      <x:c r="B39" s="152" t="str">
        <x:v>SRC-34</x:v>
      </x:c>
      <x:c r="C39" s="152" t="str">
        <x:v>California Building Standards Commission</x:v>
      </x:c>
      <x:c r="D39" s="152" t="str">
        <x:v>2025 California Building Standards Code</x:v>
      </x:c>
      <x:c r="E39" s="152" t="str">
        <x:v>2025 / effective 2026-01-01</x:v>
      </x:c>
      <x:c r="F39" s="152" t="str">
        <x:v>Governing California code edition and official access point</x:v>
      </x:c>
      <x:c r="G39" s="152" t="str">
        <x:v>https://www.dgs.ca.gov/bsc/codes</x:v>
      </x:c>
      <x:c r="H39" s="152" t="str">
        <x:v>2026-09-18</x:v>
      </x:c>
      <x:c r="I39" s="152"/>
      <x:c r="J39" s="152" t="str">
        <x:v>2025 Title 24 is effective January 1, 2026; project jurisdiction/local amendments still require confirmation.</x:v>
      </x:c>
      <x:c r="K39" s="78"/>
    </x:row>
    <x:row r="40">
      <x:c r="B40" s="152" t="str">
        <x:v>SRC-35</x:v>
      </x:c>
      <x:c r="C40" s="152" t="str">
        <x:v>California Building Standards Commission</x:v>
      </x:c>
      <x:c r="D40" s="152" t="str">
        <x:v>2025 Part 2 — Chapters 18 and 18A Soils and Foundations change summary</x:v>
      </x:c>
      <x:c r="E40" s="152" t="str">
        <x:v>2025</x:v>
      </x:c>
      <x:c r="F40" s="152" t="str">
        <x:v>Foundation/geotechnical code-change reference</x:v>
      </x:c>
      <x:c r="G40" s="152" t="str">
        <x:v>https://www.dgs.ca.gov/BSC/Resources/2025-Title-24-California-Code-Changes/2025-Part-2-Chapters-18-and-18A-Soils-and-Foundations</x:v>
      </x:c>
      <x:c r="H40" s="152" t="str">
        <x:v>2026-09-18</x:v>
      </x:c>
      <x:c r="I40" s="152"/>
      <x:c r="J40" s="152" t="str">
        <x:v>Official California summary; full adopted code text controls.</x:v>
      </x:c>
      <x:c r="K40" s="78"/>
    </x:row>
    <x:row r="41">
      <x:c r="B41" s="152" t="str">
        <x:v>SRC-36</x:v>
      </x:c>
      <x:c r="C41" s="152" t="str">
        <x:v>American Concrete Institute</x:v>
      </x:c>
      <x:c r="D41" s="152" t="str">
        <x:v>ACI CODE-318-19(22): Building Code Requirements for Structural Concrete and Commentary</x:v>
      </x:c>
      <x:c r="E41" s="152" t="str">
        <x:v>2019 / reapproved 2022</x:v>
      </x:c>
      <x:c r="F41" s="152" t="str">
        <x:v>Structural concrete design source record</x:v>
      </x:c>
      <x:c r="G41" s="152" t="str">
        <x:v>https://www.concrete.org/store/productdetail.aspx?ItemID=318U19&amp;Language=English&amp;Units=US_and_Metric</x:v>
      </x:c>
      <x:c r="H41" s="152" t="str">
        <x:v>2026-09-18</x:v>
      </x:c>
      <x:c r="I41" s="152"/>
      <x:c r="J41" s="152" t="str">
        <x:v>Licensed standard; project adoption/reference must be verified against governing CBC and local amendments.</x:v>
      </x:c>
      <x:c r="K41" s="78"/>
    </x:row>
    <x:row r="42">
      <x:c r="B42" s="152" t="str">
        <x:v>SRC-37</x:v>
      </x:c>
      <x:c r="C42" s="152" t="str">
        <x:v>California Building Standards Commission</x:v>
      </x:c>
      <x:c r="D42" s="152" t="str">
        <x:v>2025 Title 24 Code Changes — Chapter 19 Concrete</x:v>
      </x:c>
      <x:c r="E42" s="152" t="str">
        <x:v>2025</x:v>
      </x:c>
      <x:c r="F42" s="152" t="str">
        <x:v>California concrete chapter amendment tracking</x:v>
      </x:c>
      <x:c r="G42" s="152" t="str">
        <x:v>https://www.dgs.ca.gov/BSC/Resources/2025-Title-24-California-Code-Changes</x:v>
      </x:c>
      <x:c r="H42" s="152" t="str">
        <x:v>2026-09-18</x:v>
      </x:c>
      <x:c r="I42" s="152"/>
      <x:c r="J42" s="152" t="str">
        <x:v>Use to identify California amendments; full code controls.</x:v>
      </x:c>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J3"/>
  </x:mergeCells>
  <x:pageMargins left="0.7" right="0.7" top="0.75" bottom="0.75" header="0.3" footer="0.3"/>
</x:worksheet>
</file>

<file path=xl/worksheets/sheet9.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APPENDIX INDEX</x:v>
      </x:c>
      <x:c r="C2" s="79"/>
      <x:c r="D2" s="79"/>
      <x:c r="E2" s="79"/>
      <x:c r="F2" s="79"/>
      <x:c r="G2" s="79"/>
      <x:c r="H2" s="79"/>
      <x:c r="I2" s="78"/>
      <x:c r="J2" s="78"/>
      <x:c r="K2" s="78"/>
    </x:row>
    <x:row r="3">
      <x:c r="B3" s="79"/>
      <x:c r="C3" s="79"/>
      <x:c r="D3" s="79"/>
      <x:c r="E3" s="79"/>
      <x:c r="F3" s="79"/>
      <x:c r="G3" s="79"/>
      <x:c r="H3" s="79"/>
      <x:c r="I3" s="78"/>
      <x:c r="J3" s="78"/>
      <x:c r="K3" s="78"/>
    </x:row>
    <x:row r="4">
      <x:c r="B4" s="78"/>
      <x:c r="C4" s="78"/>
      <x:c r="D4" s="78"/>
      <x:c r="E4" s="78"/>
      <x:c r="F4" s="78"/>
      <x:c r="G4" s="78"/>
      <x:c r="H4" s="78"/>
      <x:c r="I4" s="78"/>
      <x:c r="J4" s="78"/>
      <x:c r="K4" s="78"/>
    </x:row>
    <x:row r="5">
      <x:c r="B5" s="28" t="str">
        <x:v>Appendix</x:v>
      </x:c>
      <x:c r="C5" s="28" t="str">
        <x:v>Category</x:v>
      </x:c>
      <x:c r="D5" s="28" t="str">
        <x:v>Document / Evidence</x:v>
      </x:c>
      <x:c r="E5" s="28" t="str">
        <x:v>Source / Firm</x:v>
      </x:c>
      <x:c r="F5" s="28" t="str">
        <x:v>Status</x:v>
      </x:c>
      <x:c r="G5" s="28" t="str">
        <x:v>File / URL</x:v>
      </x:c>
      <x:c r="H5" s="28" t="str">
        <x:v>Notes</x:v>
      </x:c>
      <x:c r="I5" s="78"/>
      <x:c r="J5" s="78"/>
      <x:c r="K5" s="78"/>
    </x:row>
    <x:row r="6">
      <x:c r="B6" s="78" t="str">
        <x:v>A</x:v>
      </x:c>
      <x:c r="C6" s="78" t="str">
        <x:v>Code &amp; Criteria</x:v>
      </x:c>
      <x:c r="D6" s="102" t="str">
        <x:v>State code / local amendments</x:v>
      </x:c>
      <x:c r="E6" s="102" t="str"/>
      <x:c r="F6" s="102" t="str">
        <x:v>REGISTERED</x:v>
      </x:c>
      <x:c r="G6" s="102" t="str"/>
      <x:c r="H6" s="102" t="str"/>
      <x:c r="I6" s="78"/>
      <x:c r="J6" s="78"/>
      <x:c r="K6" s="78"/>
    </x:row>
    <x:row r="7">
      <x:c r="B7" s="78" t="str">
        <x:v>B</x:v>
      </x:c>
      <x:c r="C7" s="78" t="str">
        <x:v>Hazard Data</x:v>
      </x:c>
      <x:c r="D7" s="102" t="str">
        <x:v>USGS seismic / wind / snow criteria</x:v>
      </x:c>
      <x:c r="E7" s="102"/>
      <x:c r="F7" s="102" t="str">
        <x:v>ACTIVE — seismic API registered</x:v>
      </x:c>
      <x:c r="G7" s="102"/>
      <x:c r="H7" s="102" t="str">
        <x:v>Retain raw hazard response/report with retrieval date and request parameters.</x:v>
      </x:c>
      <x:c r="I7" s="78"/>
      <x:c r="J7" s="78"/>
      <x:c r="K7" s="78"/>
    </x:row>
    <x:row r="8">
      <x:c r="B8" s="78" t="str">
        <x:v>C</x:v>
      </x:c>
      <x:c r="C8" s="78" t="str">
        <x:v>Geotechnical / Site</x:v>
      </x:c>
      <x:c r="D8" s="102" t="str">
        <x:v>Geotechnical report / site class / soils</x:v>
      </x:c>
      <x:c r="E8" s="102" t="str"/>
      <x:c r="F8" s="102" t="str">
        <x:v>PENDING</x:v>
      </x:c>
      <x:c r="G8" s="102" t="str"/>
      <x:c r="H8" s="102" t="str"/>
      <x:c r="I8" s="78"/>
      <x:c r="J8" s="78"/>
      <x:c r="K8" s="78"/>
    </x:row>
    <x:row r="9">
      <x:c r="B9" s="78" t="str">
        <x:v>D</x:v>
      </x:c>
      <x:c r="C9" s="78" t="str">
        <x:v>Product / Material</x:v>
      </x:c>
      <x:c r="D9" s="102" t="str">
        <x:v>ESR, manufacturer data, grading info</x:v>
      </x:c>
      <x:c r="E9" s="102" t="str"/>
      <x:c r="F9" s="102" t="str">
        <x:v>PENDING</x:v>
      </x:c>
      <x:c r="G9" s="102" t="str"/>
      <x:c r="H9" s="102" t="str"/>
      <x:c r="I9" s="78"/>
      <x:c r="J9" s="78"/>
      <x:c r="K9" s="78"/>
    </x:row>
    <x:row r="10">
      <x:c r="B10" s="78" t="str">
        <x:v>E</x:v>
      </x:c>
      <x:c r="C10" s="78" t="str">
        <x:v>Engineering Certificates</x:v>
      </x:c>
      <x:c r="D10" s="102" t="str">
        <x:v>Truss, component, delegated design certificates</x:v>
      </x:c>
      <x:c r="E10" s="102" t="str"/>
      <x:c r="F10" s="102" t="str">
        <x:v>PENDING</x:v>
      </x:c>
      <x:c r="G10" s="102" t="str">
        <x:v>PENDING — product/ESR sources registered per project</x:v>
      </x:c>
      <x:c r="H10" s="102" t="str">
        <x:v>Include connection/holdown/anchor evaluation reports, manufacturer data, and source-calculation outputs relied upon by the design.</x:v>
      </x:c>
      <x:c r="I10" s="78"/>
      <x:c r="J10" s="78"/>
      <x:c r="K10" s="78"/>
    </x:row>
    <x:row r="11">
      <x:c r="B11" s="78" t="str">
        <x:v>F</x:v>
      </x:c>
      <x:c r="C11" s="78" t="str">
        <x:v>Project Team</x:v>
      </x:c>
      <x:c r="D11" s="102" t="str">
        <x:v>Outside firm contacts / licenses / scopes</x:v>
      </x:c>
      <x:c r="E11" s="102" t="str"/>
      <x:c r="F11" s="102" t="str">
        <x:v>REGISTERED</x:v>
      </x:c>
      <x:c r="G11" s="102" t="str"/>
      <x:c r="H11" s="102" t="str"/>
      <x:c r="I11" s="78"/>
      <x:c r="J11" s="78"/>
      <x:c r="K11" s="78"/>
    </x:row>
    <x:row r="12">
      <x:c r="B12" s="78" t="str">
        <x:v>G</x:v>
      </x:c>
      <x:c r="C12" s="78" t="str">
        <x:v>Validation</x:v>
      </x:c>
      <x:c r="D12" s="102" t="str">
        <x:v>Independent math validation evidence</x:v>
      </x:c>
      <x:c r="E12" s="102"/>
      <x:c r="F12" s="102" t="str">
        <x:v>ACTIVE — wind/seismic/load-combo benchmarks</x:v>
      </x:c>
      <x:c r="G12" s="102" t="str">
        <x:v>ACTIVE — full benchmark suites through foundation mechanics</x:v>
      </x:c>
      <x:c r="H12" s="102" t="str">
        <x:v>Store engine version, expected constants, and validation result.</x:v>
      </x:c>
      <x:c r="I12" s="78"/>
      <x:c r="J12" s="78"/>
      <x:c r="K12" s="78"/>
    </x:row>
    <x:row r="13">
      <x:c r="B13" s="78" t="str">
        <x:v>H</x:v>
      </x:c>
      <x:c r="C13" s="78" t="str">
        <x:v>Calculations</x:v>
      </x:c>
      <x:c r="D13" s="102" t="str">
        <x:v>Supporting longhand / external output</x:v>
      </x:c>
      <x:c r="E13" s="102"/>
      <x:c r="F13" s="102" t="str">
        <x:v>ACTIVE</x:v>
      </x:c>
      <x:c r="G13" s="102"/>
      <x:c r="H13" s="102" t="str">
        <x:v>Longhand gravity, load combinations, wind, seismic, wood members, lateral systems, connections, holdowns, anchors, collectors, and foundations.</x:v>
      </x:c>
      <x:c r="I13" s="78"/>
      <x:c r="J13" s="78"/>
      <x:c r="K13" s="78"/>
    </x:row>
    <x:row r="14">
      <x:c r="B14" s="78" t="str">
        <x:v>I</x:v>
      </x:c>
      <x:c r="C14" s="78" t="str">
        <x:v>Other</x:v>
      </x:c>
      <x:c r="D14" s="102" t="str">
        <x:v>Project-specific supporting documentation</x:v>
      </x:c>
      <x:c r="E14" s="102" t="str"/>
      <x:c r="F14" s="102" t="str">
        <x:v>PENDING</x:v>
      </x:c>
      <x:c r="G14" s="102" t="str"/>
      <x:c r="H14" s="102" t="str"/>
      <x:c r="I14" s="78"/>
      <x:c r="J14" s="78"/>
      <x:c r="K14" s="78"/>
    </x:row>
    <x:row r="15">
      <x:c r="B15" s="78"/>
      <x:c r="C15" s="78"/>
      <x:c r="D15" s="78"/>
      <x:c r="E15" s="78"/>
      <x:c r="F15" s="78"/>
      <x:c r="G15" s="78"/>
      <x:c r="H15" s="78"/>
      <x:c r="I15" s="78"/>
      <x:c r="J15" s="78"/>
      <x:c r="K15" s="78"/>
    </x:row>
    <x:row r="16">
      <x:c r="B16" s="78"/>
      <x:c r="C16" s="78"/>
      <x:c r="D16" s="78"/>
      <x:c r="E16" s="78"/>
      <x:c r="F16" s="78"/>
      <x:c r="G16" s="78"/>
      <x:c r="H16" s="78"/>
      <x:c r="I16" s="78"/>
      <x:c r="J16" s="78"/>
      <x:c r="K16" s="78"/>
    </x:row>
    <x:row r="17">
      <x:c r="B17" s="78"/>
      <x:c r="C17" s="78"/>
      <x:c r="D17" s="78"/>
      <x:c r="E17" s="78"/>
      <x:c r="F17" s="78"/>
      <x:c r="G17" s="78"/>
      <x:c r="H17" s="78"/>
      <x:c r="I17" s="78"/>
      <x:c r="J17" s="78"/>
      <x:c r="K17" s="78"/>
    </x:row>
    <x:row r="18">
      <x:c r="B18" s="78"/>
      <x:c r="C18" s="78"/>
      <x:c r="D18" s="78"/>
      <x:c r="E18" s="78"/>
      <x:c r="F18" s="78"/>
      <x:c r="G18" s="78"/>
      <x:c r="H18" s="78"/>
      <x:c r="I18" s="78"/>
      <x:c r="J18" s="78"/>
      <x:c r="K18" s="78"/>
    </x:row>
    <x:row r="19">
      <x:c r="B19" s="78"/>
      <x:c r="C19" s="78"/>
      <x:c r="D19" s="78"/>
      <x:c r="E19" s="78"/>
      <x:c r="F19" s="78"/>
      <x:c r="G19" s="78"/>
      <x:c r="H19" s="78"/>
      <x:c r="I19" s="78"/>
      <x:c r="J19" s="78"/>
      <x:c r="K19" s="78"/>
    </x:row>
    <x:row r="20">
      <x:c r="B20" s="78"/>
      <x:c r="C20" s="78"/>
      <x:c r="D20" s="78"/>
      <x:c r="E20" s="78"/>
      <x:c r="F20" s="78"/>
      <x:c r="G20" s="78"/>
      <x:c r="H20" s="78"/>
      <x:c r="I20" s="78"/>
      <x:c r="J20" s="78"/>
      <x:c r="K20" s="78"/>
    </x:row>
    <x:row r="21">
      <x:c r="B21" s="78"/>
      <x:c r="C21" s="78"/>
      <x:c r="D21" s="78"/>
      <x:c r="E21" s="78"/>
      <x:c r="F21" s="78"/>
      <x:c r="G21" s="78"/>
      <x:c r="H21" s="78"/>
      <x:c r="I21" s="78"/>
      <x:c r="J21" s="78"/>
      <x:c r="K21" s="78"/>
    </x:row>
    <x:row r="22">
      <x:c r="B22" s="78"/>
      <x:c r="C22" s="78"/>
      <x:c r="D22" s="78"/>
      <x:c r="E22" s="78"/>
      <x:c r="F22" s="78"/>
      <x:c r="G22" s="78"/>
      <x:c r="H22" s="78"/>
      <x:c r="I22" s="78"/>
      <x:c r="J22" s="78"/>
      <x:c r="K22" s="78"/>
    </x:row>
    <x:row r="23">
      <x:c r="B23" s="78"/>
      <x:c r="C23" s="78"/>
      <x:c r="D23" s="78"/>
      <x:c r="E23" s="78"/>
      <x:c r="F23" s="78"/>
      <x:c r="G23" s="78"/>
      <x:c r="H23" s="78"/>
      <x:c r="I23" s="78"/>
      <x:c r="J23" s="78"/>
      <x:c r="K23" s="78"/>
    </x:row>
    <x:row r="24">
      <x:c r="B24" s="78"/>
      <x:c r="C24" s="78"/>
      <x:c r="D24" s="78"/>
      <x:c r="E24" s="78"/>
      <x:c r="F24" s="78"/>
      <x:c r="G24" s="78"/>
      <x:c r="H24" s="78"/>
      <x:c r="I24" s="78"/>
      <x:c r="J24" s="78"/>
      <x:c r="K24" s="78"/>
    </x:row>
    <x:row r="25">
      <x:c r="B25" s="78"/>
      <x:c r="C25" s="78"/>
      <x:c r="D25" s="78"/>
      <x:c r="E25" s="78"/>
      <x:c r="F25" s="78"/>
      <x:c r="G25" s="78"/>
      <x:c r="H25" s="78"/>
      <x:c r="I25" s="78"/>
      <x:c r="J25" s="78"/>
      <x:c r="K25" s="78"/>
    </x:row>
    <x:row r="26">
      <x:c r="B26" s="78"/>
      <x:c r="C26" s="78"/>
      <x:c r="D26" s="78"/>
      <x:c r="E26" s="78"/>
      <x:c r="F26" s="78"/>
      <x:c r="G26" s="78"/>
      <x:c r="H26" s="78"/>
      <x:c r="I26" s="78"/>
      <x:c r="J26" s="78"/>
      <x:c r="K26" s="78"/>
    </x:row>
    <x:row r="27">
      <x:c r="B27" s="78"/>
      <x:c r="C27" s="78"/>
      <x:c r="D27" s="78"/>
      <x:c r="E27" s="78"/>
      <x:c r="F27" s="78"/>
      <x:c r="G27" s="78"/>
      <x:c r="H27" s="78"/>
      <x:c r="I27" s="78"/>
      <x:c r="J27" s="78"/>
      <x:c r="K27" s="78"/>
    </x:row>
    <x:row r="28">
      <x:c r="B28" s="78"/>
      <x:c r="C28" s="78"/>
      <x:c r="D28" s="78"/>
      <x:c r="E28" s="78"/>
      <x:c r="F28" s="78"/>
      <x:c r="G28" s="78"/>
      <x:c r="H28" s="78"/>
      <x:c r="I28" s="78"/>
      <x:c r="J28" s="78"/>
      <x:c r="K28" s="78"/>
    </x:row>
    <x:row r="29">
      <x:c r="B29" s="78"/>
      <x:c r="C29" s="78"/>
      <x:c r="D29" s="78"/>
      <x:c r="E29" s="78"/>
      <x:c r="F29" s="78"/>
      <x:c r="G29" s="78"/>
      <x:c r="H29" s="78"/>
      <x:c r="I29" s="78"/>
      <x:c r="J29" s="78"/>
      <x:c r="K29" s="78"/>
    </x:row>
    <x:row r="30">
      <x:c r="B30" s="78"/>
      <x:c r="C30" s="78"/>
      <x:c r="D30" s="78"/>
      <x:c r="E30" s="78"/>
      <x:c r="F30" s="78"/>
      <x:c r="G30" s="78"/>
      <x:c r="H30" s="78"/>
      <x:c r="I30" s="78"/>
      <x:c r="J30" s="78"/>
      <x:c r="K30" s="78"/>
    </x:row>
    <x:row r="31">
      <x:c r="B31" s="78"/>
      <x:c r="C31" s="78"/>
      <x:c r="D31" s="78"/>
      <x:c r="E31" s="78"/>
      <x:c r="F31" s="78"/>
      <x:c r="G31" s="78"/>
      <x:c r="H31" s="78"/>
      <x:c r="I31" s="78"/>
      <x:c r="J31" s="78"/>
      <x:c r="K31" s="78"/>
    </x:row>
    <x:row r="32">
      <x:c r="B32" s="78"/>
      <x:c r="C32" s="78"/>
      <x:c r="D32" s="78"/>
      <x:c r="E32" s="78"/>
      <x:c r="F32" s="78"/>
      <x:c r="G32" s="78"/>
      <x:c r="H32" s="78"/>
      <x:c r="I32" s="78"/>
      <x:c r="J32" s="78"/>
      <x:c r="K32" s="78"/>
    </x:row>
    <x:row r="33">
      <x:c r="B33" s="78"/>
      <x:c r="C33" s="78"/>
      <x:c r="D33" s="78"/>
      <x:c r="E33" s="78"/>
      <x:c r="F33" s="78"/>
      <x:c r="G33" s="78"/>
      <x:c r="H33" s="78"/>
      <x:c r="I33" s="78"/>
      <x:c r="J33" s="78"/>
      <x:c r="K33" s="78"/>
    </x:row>
    <x:row r="34">
      <x:c r="B34" s="78"/>
      <x:c r="C34" s="78"/>
      <x:c r="D34" s="78"/>
      <x:c r="E34" s="78"/>
      <x:c r="F34" s="78"/>
      <x:c r="G34" s="78"/>
      <x:c r="H34" s="78"/>
      <x:c r="I34" s="78"/>
      <x:c r="J34" s="78"/>
      <x:c r="K34" s="78"/>
    </x:row>
    <x:row r="35">
      <x:c r="B35" s="78"/>
      <x:c r="C35" s="78"/>
      <x:c r="D35" s="78"/>
      <x:c r="E35" s="78"/>
      <x:c r="F35" s="78"/>
      <x:c r="G35" s="78"/>
      <x:c r="H35" s="78"/>
      <x:c r="I35" s="78"/>
      <x:c r="J35" s="78"/>
      <x:c r="K35" s="78"/>
    </x:row>
    <x:row r="36">
      <x:c r="B36" s="78"/>
      <x:c r="C36" s="78"/>
      <x:c r="D36" s="78"/>
      <x:c r="E36" s="78"/>
      <x:c r="F36" s="78"/>
      <x:c r="G36" s="78"/>
      <x:c r="H36" s="78"/>
      <x:c r="I36" s="78"/>
      <x:c r="J36" s="78"/>
      <x:c r="K36" s="78"/>
    </x:row>
    <x:row r="37">
      <x:c r="B37" s="78"/>
      <x:c r="C37" s="78"/>
      <x:c r="D37" s="78"/>
      <x:c r="E37" s="78"/>
      <x:c r="F37" s="78"/>
      <x:c r="G37" s="78"/>
      <x:c r="H37" s="78"/>
      <x:c r="I37" s="78"/>
      <x:c r="J37" s="78"/>
      <x:c r="K37" s="78"/>
    </x:row>
    <x:row r="38">
      <x:c r="B38" s="78"/>
      <x:c r="C38" s="78"/>
      <x:c r="D38" s="78"/>
      <x:c r="E38" s="78"/>
      <x:c r="F38" s="78"/>
      <x:c r="G38" s="78"/>
      <x:c r="H38" s="78"/>
      <x:c r="I38" s="78"/>
      <x:c r="J38" s="78"/>
      <x:c r="K38" s="78"/>
    </x:row>
    <x:row r="39">
      <x:c r="B39" s="78"/>
      <x:c r="C39" s="78"/>
      <x:c r="D39" s="78"/>
      <x:c r="E39" s="78"/>
      <x:c r="F39" s="78"/>
      <x:c r="G39" s="78"/>
      <x:c r="H39" s="78"/>
      <x:c r="I39" s="78"/>
      <x:c r="J39" s="78"/>
      <x:c r="K39" s="78"/>
    </x:row>
    <x:row r="40">
      <x:c r="B40" s="78"/>
      <x:c r="C40" s="78"/>
      <x:c r="D40" s="78"/>
      <x:c r="E40" s="78"/>
      <x:c r="F40" s="78"/>
      <x:c r="G40" s="78"/>
      <x:c r="H40" s="78"/>
      <x:c r="I40" s="78"/>
      <x:c r="J40" s="78"/>
      <x:c r="K40" s="78"/>
    </x:row>
    <x:row r="41">
      <x:c r="B41" s="78"/>
      <x:c r="C41" s="78"/>
      <x:c r="D41" s="78"/>
      <x:c r="E41" s="78"/>
      <x:c r="F41" s="78"/>
      <x:c r="G41" s="78"/>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H3"/>
  </x:mergeCells>
  <x:pageMargins left="0.7" right="0.7" top="0.75" bottom="0.75" header="0.3" footer="0.3"/>
</x:worksheet>
</file>

<file path=xl/worksheets/sheet10.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42" hidden="0" customWidth="1"/>
    <x:col min="11" max="11" width="20" hidden="0" customWidth="1"/>
  </x:cols>
  <x:sheetData>
    <x:row r="1">
      <x:c r="B1" s="78"/>
      <x:c r="C1" s="78"/>
      <x:c r="D1" s="78"/>
      <x:c r="E1" s="78"/>
      <x:c r="F1" s="78"/>
      <x:c r="G1" s="78"/>
      <x:c r="H1" s="78"/>
      <x:c r="I1" s="78"/>
      <x:c r="J1" s="78"/>
      <x:c r="K1" s="78"/>
    </x:row>
    <x:row r="2">
      <x:c r="B2" s="79" t="str">
        <x:v>SUPPORTING DOCUMENT REGISTER — AUTOMATED APPENDIX CONTROL</x:v>
      </x:c>
      <x:c r="C2" s="79"/>
      <x:c r="D2" s="79"/>
      <x:c r="E2" s="79"/>
      <x:c r="F2" s="79"/>
      <x:c r="G2" s="79"/>
      <x:c r="H2" s="79"/>
      <x:c r="I2" s="79"/>
      <x:c r="J2" s="79"/>
      <x:c r="K2" s="79"/>
    </x:row>
    <x:row r="3">
      <x:c r="B3" s="79"/>
      <x:c r="C3" s="79"/>
      <x:c r="D3" s="79"/>
      <x:c r="E3" s="79"/>
      <x:c r="F3" s="79"/>
      <x:c r="G3" s="79"/>
      <x:c r="H3" s="79"/>
      <x:c r="I3" s="79"/>
      <x:c r="J3" s="79"/>
      <x:c r="K3" s="79"/>
    </x:row>
    <x:row r="4">
      <x:c r="B4" s="78"/>
      <x:c r="C4" s="78"/>
      <x:c r="D4" s="78"/>
      <x:c r="E4" s="78"/>
      <x:c r="F4" s="78"/>
      <x:c r="G4" s="78"/>
      <x:c r="H4" s="78"/>
      <x:c r="I4" s="78"/>
      <x:c r="J4" s="78"/>
      <x:c r="K4" s="78"/>
    </x:row>
    <x:row r="5">
      <x:c r="B5" s="64" t="str">
        <x:v>Add every supporting document here. Appendix IDs are generated automatically when Status = INCLUDED. A later binder/PDF assembly step can use this register to assemble the appendix in order.</x:v>
      </x:c>
      <x:c r="C5" s="64"/>
      <x:c r="D5" s="64"/>
      <x:c r="E5" s="64"/>
      <x:c r="F5" s="64"/>
      <x:c r="G5" s="64"/>
      <x:c r="H5" s="64"/>
      <x:c r="I5" s="64"/>
      <x:c r="J5" s="64"/>
      <x:c r="K5" s="64"/>
    </x:row>
    <x:row r="6">
      <x:c r="B6" s="78"/>
      <x:c r="C6" s="78"/>
      <x:c r="D6" s="78"/>
      <x:c r="E6" s="78"/>
      <x:c r="F6" s="78"/>
      <x:c r="G6" s="78"/>
      <x:c r="H6" s="78"/>
      <x:c r="I6" s="78"/>
      <x:c r="J6" s="78"/>
      <x:c r="K6" s="78"/>
    </x:row>
    <x:row r="7">
      <x:c r="B7" s="28" t="str">
        <x:v>Seq.</x:v>
      </x:c>
      <x:c r="C7" s="28" t="str">
        <x:v>Category</x:v>
      </x:c>
      <x:c r="D7" s="28" t="str">
        <x:v>Document Title</x:v>
      </x:c>
      <x:c r="E7" s="28" t="str">
        <x:v>Issuing Firm / Agency</x:v>
      </x:c>
      <x:c r="F7" s="28" t="str">
        <x:v>Contact</x:v>
      </x:c>
      <x:c r="G7" s="28" t="str">
        <x:v>Date</x:v>
      </x:c>
      <x:c r="H7" s="28" t="str">
        <x:v>Status</x:v>
      </x:c>
      <x:c r="I7" s="28" t="str">
        <x:v>Appendix ID</x:v>
      </x:c>
      <x:c r="J7" s="28" t="str">
        <x:v>File / URL</x:v>
      </x:c>
      <x:c r="K7" s="28" t="str">
        <x:v>Source ID</x:v>
      </x:c>
    </x:row>
    <x:row r="8">
      <x:c r="B8" s="78" t="n">
        <x:v>1</x:v>
      </x:c>
      <x:c r="C8" s="102" t="str">
        <x:v>Hazard Data</x:v>
      </x:c>
      <x:c r="D8" s="102" t="str">
        <x:v>ASCE 7-22 Seismic Hazard Report / Raw API Response</x:v>
      </x:c>
      <x:c r="E8" s="102" t="str">
        <x:v>USGS / ASCE Hazard Tool</x:v>
      </x:c>
      <x:c r="F8" s="102"/>
      <x:c r="G8" s="102"/>
      <x:c r="H8" s="102" t="str">
        <x:v>PENDING</x:v>
      </x:c>
      <x:c r="I8" s="83" t="str"/>
      <x:c r="J8" s="102"/>
      <x:c r="K8" s="102" t="str">
        <x:v>SRC-15</x:v>
      </x:c>
    </x:row>
    <x:row r="9">
      <x:c r="B9" s="78" t="n">
        <x:v>2</x:v>
      </x:c>
      <x:c r="C9" s="102" t="str">
        <x:v>Geotechnical / Site</x:v>
      </x:c>
      <x:c r="D9" s="102" t="str">
        <x:v>Site Class Basis / Geotechnical Report</x:v>
      </x:c>
      <x:c r="E9" s="102"/>
      <x:c r="F9" s="102"/>
      <x:c r="G9" s="102"/>
      <x:c r="H9" s="102" t="str">
        <x:v>PENDING</x:v>
      </x:c>
      <x:c r="I9" s="83" t="str"/>
      <x:c r="J9" s="102"/>
      <x:c r="K9" s="102" t="str">
        <x:v>Project</x:v>
      </x:c>
    </x:row>
    <x:row r="10">
      <x:c r="B10" s="78" t="n">
        <x:v>3</x:v>
      </x:c>
      <x:c r="C10" s="102" t="str">
        <x:v>Validation</x:v>
      </x:c>
      <x:c r="D10" s="102" t="str">
        <x:v>Seismic Independent Validation Record</x:v>
      </x:c>
      <x:c r="E10" s="102" t="str">
        <x:v>Internal / independent engine</x:v>
      </x:c>
      <x:c r="F10" s="102"/>
      <x:c r="G10" s="102"/>
      <x:c r="H10" s="102" t="str">
        <x:v>PENDING</x:v>
      </x:c>
      <x:c r="I10" s="83" t="str"/>
      <x:c r="J10" s="102"/>
      <x:c r="K10" s="102" t="str">
        <x:v>S-QA-01…05</x:v>
      </x:c>
    </x:row>
    <x:row r="11">
      <x:c r="B11" s="78" t="n">
        <x:v>4</x:v>
      </x:c>
      <x:c r="C11" s="102" t="str"/>
      <x:c r="D11" s="102" t="str"/>
      <x:c r="E11" s="102" t="str"/>
      <x:c r="F11" s="102" t="str"/>
      <x:c r="G11" s="102" t="str"/>
      <x:c r="H11" s="102" t="str">
        <x:v>PENDING</x:v>
      </x:c>
      <x:c r="I11" s="83" t="str">
        <x:f>IF(H11="INCLUDED","APP-"&amp;TEXT(B11,"00"),"")</x:f>
      </x:c>
      <x:c r="J11" s="102" t="str"/>
      <x:c r="K11" s="102" t="str"/>
    </x:row>
    <x:row r="12">
      <x:c r="B12" s="78" t="n">
        <x:v>5</x:v>
      </x:c>
      <x:c r="C12" s="102" t="str"/>
      <x:c r="D12" s="102" t="str"/>
      <x:c r="E12" s="102" t="str"/>
      <x:c r="F12" s="102" t="str"/>
      <x:c r="G12" s="102" t="str"/>
      <x:c r="H12" s="102" t="str">
        <x:v>PENDING</x:v>
      </x:c>
      <x:c r="I12" s="83" t="str">
        <x:f>IF(H12="INCLUDED","APP-"&amp;TEXT(B12,"00"),"")</x:f>
      </x:c>
      <x:c r="J12" s="102" t="str"/>
      <x:c r="K12" s="102" t="str"/>
    </x:row>
    <x:row r="13">
      <x:c r="B13" s="78" t="n">
        <x:v>6</x:v>
      </x:c>
      <x:c r="C13" s="102" t="str"/>
      <x:c r="D13" s="102" t="str"/>
      <x:c r="E13" s="102" t="str"/>
      <x:c r="F13" s="102" t="str"/>
      <x:c r="G13" s="102" t="str"/>
      <x:c r="H13" s="102" t="str">
        <x:v>PENDING</x:v>
      </x:c>
      <x:c r="I13" s="83" t="str">
        <x:f>IF(H13="INCLUDED","APP-"&amp;TEXT(B13,"00"),"")</x:f>
      </x:c>
      <x:c r="J13" s="102" t="str"/>
      <x:c r="K13" s="102" t="str"/>
    </x:row>
    <x:row r="14">
      <x:c r="B14" s="78" t="n">
        <x:v>7</x:v>
      </x:c>
      <x:c r="C14" s="102" t="str"/>
      <x:c r="D14" s="102" t="str"/>
      <x:c r="E14" s="102" t="str"/>
      <x:c r="F14" s="102" t="str"/>
      <x:c r="G14" s="102" t="str"/>
      <x:c r="H14" s="102" t="str">
        <x:v>PENDING</x:v>
      </x:c>
      <x:c r="I14" s="83" t="str">
        <x:f>IF(H14="INCLUDED","APP-"&amp;TEXT(B14,"00"),"")</x:f>
      </x:c>
      <x:c r="J14" s="102" t="str"/>
      <x:c r="K14" s="102" t="str"/>
    </x:row>
    <x:row r="15">
      <x:c r="B15" s="78" t="n">
        <x:v>8</x:v>
      </x:c>
      <x:c r="C15" s="102" t="str"/>
      <x:c r="D15" s="102" t="str"/>
      <x:c r="E15" s="102" t="str"/>
      <x:c r="F15" s="102" t="str"/>
      <x:c r="G15" s="102" t="str"/>
      <x:c r="H15" s="102" t="str">
        <x:v>PENDING</x:v>
      </x:c>
      <x:c r="I15" s="83" t="str">
        <x:f>IF(H15="INCLUDED","APP-"&amp;TEXT(B15,"00"),"")</x:f>
      </x:c>
      <x:c r="J15" s="102" t="str"/>
      <x:c r="K15" s="102" t="str"/>
    </x:row>
    <x:row r="16">
      <x:c r="B16" s="78" t="n">
        <x:v>9</x:v>
      </x:c>
      <x:c r="C16" s="102" t="str"/>
      <x:c r="D16" s="102" t="str"/>
      <x:c r="E16" s="102" t="str"/>
      <x:c r="F16" s="102" t="str"/>
      <x:c r="G16" s="102" t="str"/>
      <x:c r="H16" s="102" t="str">
        <x:v>PENDING</x:v>
      </x:c>
      <x:c r="I16" s="83" t="str">
        <x:f>IF(H16="INCLUDED","APP-"&amp;TEXT(B16,"00"),"")</x:f>
      </x:c>
      <x:c r="J16" s="102" t="str"/>
      <x:c r="K16" s="102" t="str"/>
    </x:row>
    <x:row r="17">
      <x:c r="B17" s="78" t="n">
        <x:v>10</x:v>
      </x:c>
      <x:c r="C17" s="102" t="str"/>
      <x:c r="D17" s="102" t="str"/>
      <x:c r="E17" s="102" t="str"/>
      <x:c r="F17" s="102" t="str"/>
      <x:c r="G17" s="102" t="str"/>
      <x:c r="H17" s="102" t="str">
        <x:v>PENDING</x:v>
      </x:c>
      <x:c r="I17" s="83" t="str">
        <x:f>IF(H17="INCLUDED","APP-"&amp;TEXT(B17,"00"),"")</x:f>
      </x:c>
      <x:c r="J17" s="102" t="str"/>
      <x:c r="K17" s="102" t="str"/>
    </x:row>
    <x:row r="18">
      <x:c r="B18" s="78" t="n">
        <x:v>11</x:v>
      </x:c>
      <x:c r="C18" s="102" t="str"/>
      <x:c r="D18" s="102" t="str"/>
      <x:c r="E18" s="102" t="str"/>
      <x:c r="F18" s="102" t="str"/>
      <x:c r="G18" s="102" t="str"/>
      <x:c r="H18" s="102" t="str">
        <x:v>PENDING</x:v>
      </x:c>
      <x:c r="I18" s="83" t="str">
        <x:f>IF(H18="INCLUDED","APP-"&amp;TEXT(B18,"00"),"")</x:f>
      </x:c>
      <x:c r="J18" s="102" t="str"/>
      <x:c r="K18" s="102" t="str"/>
    </x:row>
    <x:row r="19">
      <x:c r="B19" s="78" t="n">
        <x:v>12</x:v>
      </x:c>
      <x:c r="C19" s="102" t="str"/>
      <x:c r="D19" s="102" t="str"/>
      <x:c r="E19" s="102" t="str"/>
      <x:c r="F19" s="102" t="str"/>
      <x:c r="G19" s="102" t="str"/>
      <x:c r="H19" s="102" t="str">
        <x:v>PENDING</x:v>
      </x:c>
      <x:c r="I19" s="83" t="str">
        <x:f>IF(H19="INCLUDED","APP-"&amp;TEXT(B19,"00"),"")</x:f>
      </x:c>
      <x:c r="J19" s="102" t="str"/>
      <x:c r="K19" s="102" t="str"/>
    </x:row>
    <x:row r="20">
      <x:c r="B20" s="78" t="n">
        <x:v>13</x:v>
      </x:c>
      <x:c r="C20" s="102" t="str"/>
      <x:c r="D20" s="102" t="str"/>
      <x:c r="E20" s="102" t="str"/>
      <x:c r="F20" s="102" t="str"/>
      <x:c r="G20" s="102" t="str"/>
      <x:c r="H20" s="102" t="str">
        <x:v>PENDING</x:v>
      </x:c>
      <x:c r="I20" s="83" t="str">
        <x:f>IF(H20="INCLUDED","APP-"&amp;TEXT(B20,"00"),"")</x:f>
      </x:c>
      <x:c r="J20" s="102" t="str"/>
      <x:c r="K20" s="102" t="str"/>
    </x:row>
    <x:row r="21">
      <x:c r="B21" s="78" t="n">
        <x:v>14</x:v>
      </x:c>
      <x:c r="C21" s="102" t="str"/>
      <x:c r="D21" s="102" t="str"/>
      <x:c r="E21" s="102" t="str"/>
      <x:c r="F21" s="102" t="str"/>
      <x:c r="G21" s="102" t="str"/>
      <x:c r="H21" s="102" t="str">
        <x:v>PENDING</x:v>
      </x:c>
      <x:c r="I21" s="83" t="str">
        <x:f>IF(H21="INCLUDED","APP-"&amp;TEXT(B21,"00"),"")</x:f>
      </x:c>
      <x:c r="J21" s="102" t="str"/>
      <x:c r="K21" s="102" t="str"/>
    </x:row>
    <x:row r="22">
      <x:c r="B22" s="78" t="n">
        <x:v>15</x:v>
      </x:c>
      <x:c r="C22" s="102" t="str"/>
      <x:c r="D22" s="102" t="str"/>
      <x:c r="E22" s="102" t="str"/>
      <x:c r="F22" s="102" t="str"/>
      <x:c r="G22" s="102" t="str"/>
      <x:c r="H22" s="102" t="str">
        <x:v>PENDING</x:v>
      </x:c>
      <x:c r="I22" s="83" t="str">
        <x:f>IF(H22="INCLUDED","APP-"&amp;TEXT(B22,"00"),"")</x:f>
      </x:c>
      <x:c r="J22" s="102" t="str"/>
      <x:c r="K22" s="102" t="str"/>
    </x:row>
    <x:row r="23">
      <x:c r="B23" s="78" t="str">
        <x:v>REF-WIND-01</x:v>
      </x:c>
      <x:c r="C23" s="78" t="str">
        <x:v>SeligTangler-1995-WindEngineering-PROPID.pdf</x:v>
      </x:c>
      <x:c r="D23" s="78" t="str">
        <x:v>Research paper</x:v>
      </x:c>
      <x:c r="E23" s="78" t="str">
        <x:v>Wind turbine blade inverse design / aerodynamics</x:v>
      </x:c>
      <x:c r="F23" s="78" t="str">
        <x:v>User upload</x:v>
      </x:c>
      <x:c r="G23" s="78" t="str">
        <x:v>1995</x:v>
      </x:c>
      <x:c r="H23" s="78" t="str">
        <x:v>Reviewed</x:v>
      </x:c>
      <x:c r="I23" s="78" t="str">
        <x:v>Not applicable to building wind loads</x:v>
      </x:c>
      <x:c r="J23" s="78" t="str">
        <x:v>N/A</x:v>
      </x:c>
      <x:c r="K23" s="78" t="str">
        <x:v>Exclude from governing wind calculation appendix</x:v>
      </x:c>
    </x:row>
    <x:row r="24">
      <x:c r="B24" s="78" t="str">
        <x:v>REF-WIND-02</x:v>
      </x:c>
      <x:c r="C24" s="78" t="str">
        <x:v>TECH2- iac- wind velocity in ASCE 7-10.pdf</x:v>
      </x:c>
      <x:c r="D24" s="78" t="str">
        <x:v>Technical note</x:v>
      </x:c>
      <x:c r="E24" s="78" t="str">
        <x:v>ASCE 7-10 Vult / Vasd terminology</x:v>
      </x:c>
      <x:c r="F24" s="78" t="str">
        <x:v>User upload</x:v>
      </x:c>
      <x:c r="G24" s="78" t="str">
        <x:v>2016</x:v>
      </x:c>
      <x:c r="H24" s="78" t="str">
        <x:v>Reviewed</x:v>
      </x:c>
      <x:c r="I24" s="78" t="str">
        <x:v>Historical QA only</x:v>
      </x:c>
      <x:c r="J24" s="78" t="str">
        <x:v>Wind appendix / historical note</x:v>
      </x:c>
      <x:c r="K24" s="78" t="str">
        <x:v>Do not use as governing ASCE 7-22 calculation source</x:v>
      </x:c>
    </x:row>
    <x:row r="25">
      <x:c r="B25" s="152" t="n">
        <x:v>16</x:v>
      </x:c>
      <x:c r="C25" s="152" t="str">
        <x:v>Product / Material</x:v>
      </x:c>
      <x:c r="D25" s="152" t="str">
        <x:v>AWC Connection Calculator Project Output</x:v>
      </x:c>
      <x:c r="E25" s="152" t="str">
        <x:v>American Wood Council</x:v>
      </x:c>
      <x:c r="F25" s="152"/>
      <x:c r="G25" s="152"/>
      <x:c r="H25" s="152" t="str">
        <x:v>PENDING</x:v>
      </x:c>
      <x:c r="I25" s="152"/>
      <x:c r="J25" s="152" t="str">
        <x:v>https://awc.org/resources/connection-calculator/</x:v>
      </x:c>
      <x:c r="K25" s="152" t="str">
        <x:v>SRC-28</x:v>
      </x:c>
    </x:row>
    <x:row r="26">
      <x:c r="B26" s="152" t="n">
        <x:v>17</x:v>
      </x:c>
      <x:c r="C26" s="152" t="str">
        <x:v>Product / Material</x:v>
      </x:c>
      <x:c r="D26" s="152" t="str">
        <x:v>Holdown / Tension-Tie Evaluation Report or Manufacturer Data</x:v>
      </x:c>
      <x:c r="E26" s="152"/>
      <x:c r="F26" s="152"/>
      <x:c r="G26" s="152"/>
      <x:c r="H26" s="152" t="str">
        <x:v>PENDING</x:v>
      </x:c>
      <x:c r="I26" s="152"/>
      <x:c r="J26" s="152"/>
      <x:c r="K26" s="152" t="str">
        <x:v>Project product source</x:v>
      </x:c>
    </x:row>
    <x:row r="27">
      <x:c r="B27" s="152" t="n">
        <x:v>18</x:v>
      </x:c>
      <x:c r="C27" s="152" t="str">
        <x:v>Product / Material</x:v>
      </x:c>
      <x:c r="D27" s="152" t="str">
        <x:v>Concrete Anchor ESR / Engineered Anchor Design</x:v>
      </x:c>
      <x:c r="E27" s="152"/>
      <x:c r="F27" s="152"/>
      <x:c r="G27" s="152"/>
      <x:c r="H27" s="152" t="str">
        <x:v>PENDING</x:v>
      </x:c>
      <x:c r="I27" s="152"/>
      <x:c r="J27" s="152"/>
      <x:c r="K27" s="152" t="str">
        <x:v>Project anchor source</x:v>
      </x:c>
    </x:row>
    <x:row r="28">
      <x:c r="B28" s="152" t="n">
        <x:v>19</x:v>
      </x:c>
      <x:c r="C28" s="152" t="str">
        <x:v>Validation</x:v>
      </x:c>
      <x:c r="D28" s="152" t="str">
        <x:v>Connection / Holdown / Anchor Independent Validation Record</x:v>
      </x:c>
      <x:c r="E28" s="152" t="str">
        <x:v>Internal / independent engine</x:v>
      </x:c>
      <x:c r="F28" s="152"/>
      <x:c r="G28" s="152"/>
      <x:c r="H28" s="152" t="str">
        <x:v>PENDING</x:v>
      </x:c>
      <x:c r="I28" s="152"/>
      <x:c r="J28" s="152"/>
      <x:c r="K28" s="152" t="str">
        <x:v>CONN-QA / HD-QA / ANCH-QA</x:v>
      </x:c>
    </x:row>
    <x:row r="29">
      <x:c r="B29" s="152" t="n">
        <x:v>20</x:v>
      </x:c>
      <x:c r="C29" s="152" t="str">
        <x:v>Calculations</x:v>
      </x:c>
      <x:c r="D29" s="152" t="str">
        <x:v>Collector / Chord / Connection Longhand Package</x:v>
      </x:c>
      <x:c r="E29" s="152" t="str">
        <x:v>Internal</x:v>
      </x:c>
      <x:c r="F29" s="152"/>
      <x:c r="G29" s="152"/>
      <x:c r="H29" s="152" t="str">
        <x:v>PENDING</x:v>
      </x:c>
      <x:c r="I29" s="152"/>
      <x:c r="J29" s="152"/>
      <x:c r="K29" s="152" t="str">
        <x:v>32–35 longhand sheets</x:v>
      </x:c>
    </x:row>
    <x:row r="30">
      <x:c r="B30" s="152" t="n">
        <x:v>21</x:v>
      </x:c>
      <x:c r="C30" s="152" t="str">
        <x:v>Geotechnical / Site</x:v>
      </x:c>
      <x:c r="D30" s="152" t="str">
        <x:v>Geotechnical Report / Foundation Soil Design Basis</x:v>
      </x:c>
      <x:c r="E30" s="152"/>
      <x:c r="F30" s="152"/>
      <x:c r="G30" s="152"/>
      <x:c r="H30" s="152" t="str">
        <x:v>PENDING</x:v>
      </x:c>
      <x:c r="I30" s="152"/>
      <x:c r="J30" s="152"/>
      <x:c r="K30" s="152" t="str">
        <x:v>Project / SRC-34</x:v>
      </x:c>
    </x:row>
    <x:row r="31">
      <x:c r="B31" s="152" t="n">
        <x:v>22</x:v>
      </x:c>
      <x:c r="C31" s="152" t="str">
        <x:v>Calculations</x:v>
      </x:c>
      <x:c r="D31" s="152" t="str">
        <x:v>Foundation Concrete Design Record</x:v>
      </x:c>
      <x:c r="E31" s="152"/>
      <x:c r="F31" s="152"/>
      <x:c r="G31" s="152"/>
      <x:c r="H31" s="152" t="str">
        <x:v>PENDING</x:v>
      </x:c>
      <x:c r="I31" s="152"/>
      <x:c r="J31" s="152"/>
      <x:c r="K31" s="152" t="str">
        <x:v>SRC-36 / project calculation</x:v>
      </x:c>
    </x:row>
    <x:row r="32">
      <x:c r="B32" s="152" t="n">
        <x:v>23</x:v>
      </x:c>
      <x:c r="C32" s="152" t="str">
        <x:v>Validation</x:v>
      </x:c>
      <x:c r="D32" s="152" t="str">
        <x:v>Foundation Mechanics Validation Record</x:v>
      </x:c>
      <x:c r="E32" s="152" t="str">
        <x:v>Internal / independent engine</x:v>
      </x:c>
      <x:c r="F32" s="152"/>
      <x:c r="G32" s="152"/>
      <x:c r="H32" s="152" t="str">
        <x:v>PENDING</x:v>
      </x:c>
      <x:c r="I32" s="152"/>
      <x:c r="J32" s="152"/>
      <x:c r="K32" s="152" t="str">
        <x:v>FDN-QA-01…08</x:v>
      </x:c>
    </x:row>
    <x:row r="33">
      <x:c r="B33" s="152" t="n">
        <x:v>24</x:v>
      </x:c>
      <x:c r="C33" s="152" t="str">
        <x:v>Calculations</x:v>
      </x:c>
      <x:c r="D33" s="152" t="str">
        <x:v>Foundation Longhand Calculation</x:v>
      </x:c>
      <x:c r="E33" s="152" t="str">
        <x:v>Internal</x:v>
      </x:c>
      <x:c r="F33" s="152"/>
      <x:c r="G33" s="152"/>
      <x:c r="H33" s="152" t="str">
        <x:v>PENDING</x:v>
      </x:c>
      <x:c r="I33" s="152"/>
      <x:c r="J33" s="152"/>
      <x:c r="K33" s="152" t="str">
        <x:v>37_LONGHAND_FOUNDATION</x:v>
      </x:c>
    </x:row>
    <x:row r="34">
      <x:c r="B34" s="78"/>
      <x:c r="C34" s="78"/>
      <x:c r="D34" s="78"/>
      <x:c r="E34" s="78"/>
      <x:c r="F34" s="78"/>
      <x:c r="G34" s="78"/>
      <x:c r="H34" s="78"/>
      <x:c r="I34" s="78"/>
      <x:c r="J34" s="78"/>
      <x:c r="K34" s="78"/>
    </x:row>
    <x:row r="35">
      <x:c r="B35" s="78"/>
      <x:c r="C35" s="78"/>
      <x:c r="D35" s="78"/>
      <x:c r="E35" s="78"/>
      <x:c r="F35" s="78"/>
      <x:c r="G35" s="78"/>
      <x:c r="H35" s="78"/>
      <x:c r="I35" s="78"/>
      <x:c r="J35" s="78"/>
      <x:c r="K35" s="78"/>
    </x:row>
    <x:row r="36">
      <x:c r="B36" s="78"/>
      <x:c r="C36" s="78"/>
      <x:c r="D36" s="78"/>
      <x:c r="E36" s="78"/>
      <x:c r="F36" s="78"/>
      <x:c r="G36" s="78"/>
      <x:c r="H36" s="78"/>
      <x:c r="I36" s="78"/>
      <x:c r="J36" s="78"/>
      <x:c r="K36" s="78"/>
    </x:row>
    <x:row r="37">
      <x:c r="B37" s="78"/>
      <x:c r="C37" s="78"/>
      <x:c r="D37" s="78"/>
      <x:c r="E37" s="78"/>
      <x:c r="F37" s="78"/>
      <x:c r="G37" s="78"/>
      <x:c r="H37" s="78"/>
      <x:c r="I37" s="78"/>
      <x:c r="J37" s="78"/>
      <x:c r="K37" s="78"/>
    </x:row>
    <x:row r="38">
      <x:c r="B38" s="78"/>
      <x:c r="C38" s="78"/>
      <x:c r="D38" s="78"/>
      <x:c r="E38" s="78"/>
      <x:c r="F38" s="78"/>
      <x:c r="G38" s="78"/>
      <x:c r="H38" s="78"/>
      <x:c r="I38" s="78"/>
      <x:c r="J38" s="78"/>
      <x:c r="K38" s="78"/>
    </x:row>
    <x:row r="39">
      <x:c r="B39" s="78"/>
      <x:c r="C39" s="78"/>
      <x:c r="D39" s="78"/>
      <x:c r="E39" s="78"/>
      <x:c r="F39" s="78"/>
      <x:c r="G39" s="78"/>
      <x:c r="H39" s="78"/>
      <x:c r="I39" s="78"/>
      <x:c r="J39" s="78"/>
      <x:c r="K39" s="78"/>
    </x:row>
    <x:row r="40">
      <x:c r="B40" s="78"/>
      <x:c r="C40" s="78"/>
      <x:c r="D40" s="78"/>
      <x:c r="E40" s="78"/>
      <x:c r="F40" s="78"/>
      <x:c r="G40" s="78"/>
      <x:c r="H40" s="78"/>
      <x:c r="I40" s="78"/>
      <x:c r="J40" s="78"/>
      <x:c r="K40" s="78"/>
    </x:row>
    <x:row r="41">
      <x:c r="B41" s="78"/>
      <x:c r="C41" s="78"/>
      <x:c r="D41" s="78"/>
      <x:c r="E41" s="78"/>
      <x:c r="F41" s="78"/>
      <x:c r="G41" s="78"/>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K3"/>
    <x:mergeCell ref="B5:K5"/>
  </x:mergeCells>
  <x:dataValidations count="1">
    <x:dataValidation type="list" sqref="H8:H22">
      <x:formula1>"PENDING,INCLUDED,NOT REQUIRED,SUPERSEDED"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2" max="2" width="24" hidden="0" customWidth="1"/>
    <x:col min="3" max="3" width="22" hidden="0" customWidth="1"/>
    <x:col min="4" max="4" width="16" hidden="0" customWidth="1"/>
    <x:col min="5" max="5" width="22" hidden="0" customWidth="1"/>
    <x:col min="6" max="6" width="18" hidden="0" customWidth="1"/>
    <x:col min="7" max="7" width="18" hidden="0" customWidth="1"/>
    <x:col min="8" max="8" width="18" hidden="0" customWidth="1"/>
    <x:col min="9" max="9" width="18" hidden="0" customWidth="1"/>
    <x:col min="10" max="10" width="22" hidden="0" customWidth="1"/>
    <x:col min="11" max="11" width="20" hidden="0" customWidth="1"/>
  </x:cols>
  <x:sheetData>
    <x:row r="1">
      <x:c r="B1" s="78"/>
      <x:c r="C1" s="78"/>
      <x:c r="D1" s="78"/>
      <x:c r="E1" s="78"/>
      <x:c r="F1" s="78"/>
      <x:c r="G1" s="78"/>
      <x:c r="H1" s="78"/>
      <x:c r="I1" s="78"/>
      <x:c r="J1" s="78"/>
      <x:c r="K1" s="78"/>
    </x:row>
    <x:row r="2">
      <x:c r="B2" s="79" t="str">
        <x:v>CERTIFICATES / DELEGATED DESIGN REGISTER</x:v>
      </x:c>
      <x:c r="C2" s="79"/>
      <x:c r="D2" s="79"/>
      <x:c r="E2" s="79"/>
      <x:c r="F2" s="79"/>
      <x:c r="G2" s="79"/>
      <x:c r="H2" s="79"/>
      <x:c r="I2" s="79"/>
      <x:c r="J2" s="79"/>
      <x:c r="K2" s="78"/>
    </x:row>
    <x:row r="3">
      <x:c r="B3" s="79"/>
      <x:c r="C3" s="79"/>
      <x:c r="D3" s="79"/>
      <x:c r="E3" s="79"/>
      <x:c r="F3" s="79"/>
      <x:c r="G3" s="79"/>
      <x:c r="H3" s="79"/>
      <x:c r="I3" s="79"/>
      <x:c r="J3" s="79"/>
      <x:c r="K3" s="78"/>
    </x:row>
    <x:row r="4">
      <x:c r="B4" s="78"/>
      <x:c r="C4" s="78"/>
      <x:c r="D4" s="78"/>
      <x:c r="E4" s="78"/>
      <x:c r="F4" s="78"/>
      <x:c r="G4" s="78"/>
      <x:c r="H4" s="78"/>
      <x:c r="I4" s="78"/>
      <x:c r="J4" s="78"/>
      <x:c r="K4" s="78"/>
    </x:row>
    <x:row r="5">
      <x:c r="B5" s="28" t="str">
        <x:v>Type</x:v>
      </x:c>
      <x:c r="C5" s="28" t="str">
        <x:v>Description</x:v>
      </x:c>
      <x:c r="D5" s="28" t="str">
        <x:v>Firm</x:v>
      </x:c>
      <x:c r="E5" s="28" t="str">
        <x:v>Engineer / Certifier</x:v>
      </x:c>
      <x:c r="F5" s="28" t="str">
        <x:v>License / Cert.</x:v>
      </x:c>
      <x:c r="G5" s="28" t="str">
        <x:v>Date</x:v>
      </x:c>
      <x:c r="H5" s="28" t="str">
        <x:v>Status</x:v>
      </x:c>
      <x:c r="I5" s="28" t="str">
        <x:v>Appendix ID</x:v>
      </x:c>
      <x:c r="J5" s="28" t="str">
        <x:v>Notes</x:v>
      </x:c>
      <x:c r="K5" s="78"/>
    </x:row>
    <x:row r="6">
      <x:c r="B6" s="78" t="str">
        <x:v>Truss Engineering</x:v>
      </x:c>
      <x:c r="C6" s="102" t="str"/>
      <x:c r="D6" s="102" t="str"/>
      <x:c r="E6" s="102" t="str"/>
      <x:c r="F6" s="102" t="str"/>
      <x:c r="G6" s="102" t="str"/>
      <x:c r="H6" s="102" t="str">
        <x:v>PENDING</x:v>
      </x:c>
      <x:c r="I6" s="102" t="str"/>
      <x:c r="J6" s="102" t="str"/>
      <x:c r="K6" s="78"/>
    </x:row>
    <x:row r="7">
      <x:c r="B7" s="78" t="str">
        <x:v>Prefabricated Component</x:v>
      </x:c>
      <x:c r="C7" s="102" t="str"/>
      <x:c r="D7" s="102" t="str"/>
      <x:c r="E7" s="102" t="str"/>
      <x:c r="F7" s="102" t="str"/>
      <x:c r="G7" s="102" t="str"/>
      <x:c r="H7" s="102" t="str">
        <x:v>PENDING</x:v>
      </x:c>
      <x:c r="I7" s="102" t="str"/>
      <x:c r="J7" s="102" t="str"/>
      <x:c r="K7" s="78"/>
    </x:row>
    <x:row r="8">
      <x:c r="B8" s="78" t="str">
        <x:v>Geotechnical / Soils</x:v>
      </x:c>
      <x:c r="C8" s="102" t="str"/>
      <x:c r="D8" s="102" t="str"/>
      <x:c r="E8" s="102" t="str"/>
      <x:c r="F8" s="102" t="str"/>
      <x:c r="G8" s="102" t="str"/>
      <x:c r="H8" s="102" t="str">
        <x:v>PENDING</x:v>
      </x:c>
      <x:c r="I8" s="102" t="str"/>
      <x:c r="J8" s="102" t="str"/>
      <x:c r="K8" s="78"/>
    </x:row>
    <x:row r="9">
      <x:c r="B9" s="78" t="str">
        <x:v>Special Inspection / Testing</x:v>
      </x:c>
      <x:c r="C9" s="102" t="str"/>
      <x:c r="D9" s="102" t="str"/>
      <x:c r="E9" s="102" t="str"/>
      <x:c r="F9" s="102" t="str"/>
      <x:c r="G9" s="102" t="str"/>
      <x:c r="H9" s="102" t="str">
        <x:v>PENDING</x:v>
      </x:c>
      <x:c r="I9" s="102" t="str"/>
      <x:c r="J9" s="102" t="str"/>
      <x:c r="K9" s="78"/>
    </x:row>
    <x:row r="10">
      <x:c r="B10" s="78" t="str">
        <x:v>Manufacturer / ICC-ES</x:v>
      </x:c>
      <x:c r="C10" s="102" t="str"/>
      <x:c r="D10" s="102" t="str"/>
      <x:c r="E10" s="102" t="str"/>
      <x:c r="F10" s="102" t="str"/>
      <x:c r="G10" s="102" t="str"/>
      <x:c r="H10" s="102" t="str">
        <x:v>PENDING</x:v>
      </x:c>
      <x:c r="I10" s="102" t="str"/>
      <x:c r="J10" s="102" t="str"/>
      <x:c r="K10" s="78"/>
    </x:row>
    <x:row r="11">
      <x:c r="B11" s="78" t="str">
        <x:v>Survey / Site</x:v>
      </x:c>
      <x:c r="C11" s="102" t="str"/>
      <x:c r="D11" s="102" t="str"/>
      <x:c r="E11" s="102" t="str"/>
      <x:c r="F11" s="102" t="str"/>
      <x:c r="G11" s="102" t="str"/>
      <x:c r="H11" s="102" t="str">
        <x:v>PENDING</x:v>
      </x:c>
      <x:c r="I11" s="102" t="str"/>
      <x:c r="J11" s="102" t="str"/>
      <x:c r="K11" s="78"/>
    </x:row>
    <x:row r="12">
      <x:c r="B12" s="78" t="str">
        <x:v>Energy / Other</x:v>
      </x:c>
      <x:c r="C12" s="102" t="str"/>
      <x:c r="D12" s="102" t="str"/>
      <x:c r="E12" s="102" t="str"/>
      <x:c r="F12" s="102" t="str"/>
      <x:c r="G12" s="102" t="str"/>
      <x:c r="H12" s="102" t="str">
        <x:v>PENDING</x:v>
      </x:c>
      <x:c r="I12" s="102" t="str"/>
      <x:c r="J12" s="102" t="str"/>
      <x:c r="K12" s="78"/>
    </x:row>
    <x:row r="13">
      <x:c r="B13" s="78" t="str">
        <x:v>Other</x:v>
      </x:c>
      <x:c r="C13" s="102" t="str"/>
      <x:c r="D13" s="102" t="str"/>
      <x:c r="E13" s="102" t="str"/>
      <x:c r="F13" s="102" t="str"/>
      <x:c r="G13" s="102" t="str"/>
      <x:c r="H13" s="102" t="str">
        <x:v>PENDING</x:v>
      </x:c>
      <x:c r="I13" s="102" t="str"/>
      <x:c r="J13" s="102" t="str"/>
      <x:c r="K13" s="78"/>
    </x:row>
    <x:row r="14">
      <x:c r="B14" s="78" t="str"/>
      <x:c r="C14" s="102" t="str"/>
      <x:c r="D14" s="102" t="str"/>
      <x:c r="E14" s="102" t="str"/>
      <x:c r="F14" s="102" t="str"/>
      <x:c r="G14" s="102" t="str"/>
      <x:c r="H14" s="102" t="str"/>
      <x:c r="I14" s="102" t="str"/>
      <x:c r="J14" s="102" t="str"/>
      <x:c r="K14" s="78"/>
    </x:row>
    <x:row r="15">
      <x:c r="B15" s="78" t="str"/>
      <x:c r="C15" s="102" t="str"/>
      <x:c r="D15" s="102" t="str"/>
      <x:c r="E15" s="102" t="str"/>
      <x:c r="F15" s="102" t="str"/>
      <x:c r="G15" s="102" t="str"/>
      <x:c r="H15" s="102" t="str"/>
      <x:c r="I15" s="102" t="str"/>
      <x:c r="J15" s="102" t="str"/>
      <x:c r="K15" s="78"/>
    </x:row>
    <x:row r="16">
      <x:c r="B16" s="78"/>
      <x:c r="C16" s="78"/>
      <x:c r="D16" s="78"/>
      <x:c r="E16" s="78"/>
      <x:c r="F16" s="78"/>
      <x:c r="G16" s="78"/>
      <x:c r="H16" s="78"/>
      <x:c r="I16" s="78"/>
      <x:c r="J16" s="78"/>
      <x:c r="K16" s="78"/>
    </x:row>
    <x:row r="17">
      <x:c r="B17" s="78"/>
      <x:c r="C17" s="78"/>
      <x:c r="D17" s="78"/>
      <x:c r="E17" s="78"/>
      <x:c r="F17" s="78"/>
      <x:c r="G17" s="78"/>
      <x:c r="H17" s="78"/>
      <x:c r="I17" s="78"/>
      <x:c r="J17" s="78"/>
      <x:c r="K17" s="78"/>
    </x:row>
    <x:row r="18">
      <x:c r="B18" s="78"/>
      <x:c r="C18" s="78"/>
      <x:c r="D18" s="78"/>
      <x:c r="E18" s="78"/>
      <x:c r="F18" s="78"/>
      <x:c r="G18" s="78"/>
      <x:c r="H18" s="78"/>
      <x:c r="I18" s="78"/>
      <x:c r="J18" s="78"/>
      <x:c r="K18" s="78"/>
    </x:row>
    <x:row r="19">
      <x:c r="B19" s="78"/>
      <x:c r="C19" s="78"/>
      <x:c r="D19" s="78"/>
      <x:c r="E19" s="78"/>
      <x:c r="F19" s="78"/>
      <x:c r="G19" s="78"/>
      <x:c r="H19" s="78"/>
      <x:c r="I19" s="78"/>
      <x:c r="J19" s="78"/>
      <x:c r="K19" s="78"/>
    </x:row>
    <x:row r="20">
      <x:c r="B20" s="78"/>
      <x:c r="C20" s="78"/>
      <x:c r="D20" s="78"/>
      <x:c r="E20" s="78"/>
      <x:c r="F20" s="78"/>
      <x:c r="G20" s="78"/>
      <x:c r="H20" s="78"/>
      <x:c r="I20" s="78"/>
      <x:c r="J20" s="78"/>
      <x:c r="K20" s="78"/>
    </x:row>
    <x:row r="21">
      <x:c r="B21" s="78"/>
      <x:c r="C21" s="78"/>
      <x:c r="D21" s="78"/>
      <x:c r="E21" s="78"/>
      <x:c r="F21" s="78"/>
      <x:c r="G21" s="78"/>
      <x:c r="H21" s="78"/>
      <x:c r="I21" s="78"/>
      <x:c r="J21" s="78"/>
      <x:c r="K21" s="78"/>
    </x:row>
    <x:row r="22">
      <x:c r="B22" s="78"/>
      <x:c r="C22" s="78"/>
      <x:c r="D22" s="78"/>
      <x:c r="E22" s="78"/>
      <x:c r="F22" s="78"/>
      <x:c r="G22" s="78"/>
      <x:c r="H22" s="78"/>
      <x:c r="I22" s="78"/>
      <x:c r="J22" s="78"/>
      <x:c r="K22" s="78"/>
    </x:row>
    <x:row r="23">
      <x:c r="B23" s="78"/>
      <x:c r="C23" s="78"/>
      <x:c r="D23" s="78"/>
      <x:c r="E23" s="78"/>
      <x:c r="F23" s="78"/>
      <x:c r="G23" s="78"/>
      <x:c r="H23" s="78"/>
      <x:c r="I23" s="78"/>
      <x:c r="J23" s="78"/>
      <x:c r="K23" s="78"/>
    </x:row>
    <x:row r="24">
      <x:c r="B24" s="78"/>
      <x:c r="C24" s="78"/>
      <x:c r="D24" s="78"/>
      <x:c r="E24" s="78"/>
      <x:c r="F24" s="78"/>
      <x:c r="G24" s="78"/>
      <x:c r="H24" s="78"/>
      <x:c r="I24" s="78"/>
      <x:c r="J24" s="78"/>
      <x:c r="K24" s="78"/>
    </x:row>
    <x:row r="25">
      <x:c r="B25" s="78"/>
      <x:c r="C25" s="78"/>
      <x:c r="D25" s="78"/>
      <x:c r="E25" s="78"/>
      <x:c r="F25" s="78"/>
      <x:c r="G25" s="78"/>
      <x:c r="H25" s="78"/>
      <x:c r="I25" s="78"/>
      <x:c r="J25" s="78"/>
      <x:c r="K25" s="78"/>
    </x:row>
    <x:row r="26">
      <x:c r="B26" s="78"/>
      <x:c r="C26" s="78"/>
      <x:c r="D26" s="78"/>
      <x:c r="E26" s="78"/>
      <x:c r="F26" s="78"/>
      <x:c r="G26" s="78"/>
      <x:c r="H26" s="78"/>
      <x:c r="I26" s="78"/>
      <x:c r="J26" s="78"/>
      <x:c r="K26" s="78"/>
    </x:row>
    <x:row r="27">
      <x:c r="B27" s="78"/>
      <x:c r="C27" s="78"/>
      <x:c r="D27" s="78"/>
      <x:c r="E27" s="78"/>
      <x:c r="F27" s="78"/>
      <x:c r="G27" s="78"/>
      <x:c r="H27" s="78"/>
      <x:c r="I27" s="78"/>
      <x:c r="J27" s="78"/>
      <x:c r="K27" s="78"/>
    </x:row>
    <x:row r="28">
      <x:c r="B28" s="78"/>
      <x:c r="C28" s="78"/>
      <x:c r="D28" s="78"/>
      <x:c r="E28" s="78"/>
      <x:c r="F28" s="78"/>
      <x:c r="G28" s="78"/>
      <x:c r="H28" s="78"/>
      <x:c r="I28" s="78"/>
      <x:c r="J28" s="78"/>
      <x:c r="K28" s="78"/>
    </x:row>
    <x:row r="29">
      <x:c r="B29" s="78"/>
      <x:c r="C29" s="78"/>
      <x:c r="D29" s="78"/>
      <x:c r="E29" s="78"/>
      <x:c r="F29" s="78"/>
      <x:c r="G29" s="78"/>
      <x:c r="H29" s="78"/>
      <x:c r="I29" s="78"/>
      <x:c r="J29" s="78"/>
      <x:c r="K29" s="78"/>
    </x:row>
    <x:row r="30">
      <x:c r="B30" s="78"/>
      <x:c r="C30" s="78"/>
      <x:c r="D30" s="78"/>
      <x:c r="E30" s="78"/>
      <x:c r="F30" s="78"/>
      <x:c r="G30" s="78"/>
      <x:c r="H30" s="78"/>
      <x:c r="I30" s="78"/>
      <x:c r="J30" s="78"/>
      <x:c r="K30" s="78"/>
    </x:row>
    <x:row r="31">
      <x:c r="B31" s="78"/>
      <x:c r="C31" s="78"/>
      <x:c r="D31" s="78"/>
      <x:c r="E31" s="78"/>
      <x:c r="F31" s="78"/>
      <x:c r="G31" s="78"/>
      <x:c r="H31" s="78"/>
      <x:c r="I31" s="78"/>
      <x:c r="J31" s="78"/>
      <x:c r="K31" s="78"/>
    </x:row>
    <x:row r="32">
      <x:c r="B32" s="78"/>
      <x:c r="C32" s="78"/>
      <x:c r="D32" s="78"/>
      <x:c r="E32" s="78"/>
      <x:c r="F32" s="78"/>
      <x:c r="G32" s="78"/>
      <x:c r="H32" s="78"/>
      <x:c r="I32" s="78"/>
      <x:c r="J32" s="78"/>
      <x:c r="K32" s="78"/>
    </x:row>
    <x:row r="33">
      <x:c r="B33" s="78"/>
      <x:c r="C33" s="78"/>
      <x:c r="D33" s="78"/>
      <x:c r="E33" s="78"/>
      <x:c r="F33" s="78"/>
      <x:c r="G33" s="78"/>
      <x:c r="H33" s="78"/>
      <x:c r="I33" s="78"/>
      <x:c r="J33" s="78"/>
      <x:c r="K33" s="78"/>
    </x:row>
    <x:row r="34">
      <x:c r="B34" s="78"/>
      <x:c r="C34" s="78"/>
      <x:c r="D34" s="78"/>
      <x:c r="E34" s="78"/>
      <x:c r="F34" s="78"/>
      <x:c r="G34" s="78"/>
      <x:c r="H34" s="78"/>
      <x:c r="I34" s="78"/>
      <x:c r="J34" s="78"/>
      <x:c r="K34" s="78"/>
    </x:row>
    <x:row r="35">
      <x:c r="B35" s="78"/>
      <x:c r="C35" s="78"/>
      <x:c r="D35" s="78"/>
      <x:c r="E35" s="78"/>
      <x:c r="F35" s="78"/>
      <x:c r="G35" s="78"/>
      <x:c r="H35" s="78"/>
      <x:c r="I35" s="78"/>
      <x:c r="J35" s="78"/>
      <x:c r="K35" s="78"/>
    </x:row>
    <x:row r="36">
      <x:c r="B36" s="78"/>
      <x:c r="C36" s="78"/>
      <x:c r="D36" s="78"/>
      <x:c r="E36" s="78"/>
      <x:c r="F36" s="78"/>
      <x:c r="G36" s="78"/>
      <x:c r="H36" s="78"/>
      <x:c r="I36" s="78"/>
      <x:c r="J36" s="78"/>
      <x:c r="K36" s="78"/>
    </x:row>
    <x:row r="37">
      <x:c r="B37" s="78"/>
      <x:c r="C37" s="78"/>
      <x:c r="D37" s="78"/>
      <x:c r="E37" s="78"/>
      <x:c r="F37" s="78"/>
      <x:c r="G37" s="78"/>
      <x:c r="H37" s="78"/>
      <x:c r="I37" s="78"/>
      <x:c r="J37" s="78"/>
      <x:c r="K37" s="78"/>
    </x:row>
    <x:row r="38">
      <x:c r="B38" s="78"/>
      <x:c r="C38" s="78"/>
      <x:c r="D38" s="78"/>
      <x:c r="E38" s="78"/>
      <x:c r="F38" s="78"/>
      <x:c r="G38" s="78"/>
      <x:c r="H38" s="78"/>
      <x:c r="I38" s="78"/>
      <x:c r="J38" s="78"/>
      <x:c r="K38" s="78"/>
    </x:row>
    <x:row r="39">
      <x:c r="B39" s="78"/>
      <x:c r="C39" s="78"/>
      <x:c r="D39" s="78"/>
      <x:c r="E39" s="78"/>
      <x:c r="F39" s="78"/>
      <x:c r="G39" s="78"/>
      <x:c r="H39" s="78"/>
      <x:c r="I39" s="78"/>
      <x:c r="J39" s="78"/>
      <x:c r="K39" s="78"/>
    </x:row>
    <x:row r="40">
      <x:c r="B40" s="78"/>
      <x:c r="C40" s="78"/>
      <x:c r="D40" s="78"/>
      <x:c r="E40" s="78"/>
      <x:c r="F40" s="78"/>
      <x:c r="G40" s="78"/>
      <x:c r="H40" s="78"/>
      <x:c r="I40" s="78"/>
      <x:c r="J40" s="78"/>
      <x:c r="K40" s="78"/>
    </x:row>
    <x:row r="41">
      <x:c r="B41" s="78"/>
      <x:c r="C41" s="78"/>
      <x:c r="D41" s="78"/>
      <x:c r="E41" s="78"/>
      <x:c r="F41" s="78"/>
      <x:c r="G41" s="78"/>
      <x:c r="H41" s="78"/>
      <x:c r="I41" s="78"/>
      <x:c r="J41" s="78"/>
      <x:c r="K41" s="78"/>
    </x:row>
    <x:row r="42">
      <x:c r="B42" s="78"/>
      <x:c r="C42" s="78"/>
      <x:c r="D42" s="78"/>
      <x:c r="E42" s="78"/>
      <x:c r="F42" s="78"/>
      <x:c r="G42" s="78"/>
      <x:c r="H42" s="78"/>
      <x:c r="I42" s="78"/>
      <x:c r="J42" s="78"/>
      <x:c r="K42" s="78"/>
    </x:row>
    <x:row r="43">
      <x:c r="B43" s="78"/>
      <x:c r="C43" s="78"/>
      <x:c r="D43" s="78"/>
      <x:c r="E43" s="78"/>
      <x:c r="F43" s="78"/>
      <x:c r="G43" s="78"/>
      <x:c r="H43" s="78"/>
      <x:c r="I43" s="78"/>
      <x:c r="J43" s="78"/>
      <x:c r="K43" s="78"/>
    </x:row>
    <x:row r="44">
      <x:c r="B44" s="78"/>
      <x:c r="C44" s="78"/>
      <x:c r="D44" s="78"/>
      <x:c r="E44" s="78"/>
      <x:c r="F44" s="78"/>
      <x:c r="G44" s="78"/>
      <x:c r="H44" s="78"/>
      <x:c r="I44" s="78"/>
      <x:c r="J44" s="78"/>
      <x:c r="K44" s="78"/>
    </x:row>
    <x:row r="45">
      <x:c r="B45" s="78"/>
      <x:c r="C45" s="78"/>
      <x:c r="D45" s="78"/>
      <x:c r="E45" s="78"/>
      <x:c r="F45" s="78"/>
      <x:c r="G45" s="78"/>
      <x:c r="H45" s="78"/>
      <x:c r="I45" s="78"/>
      <x:c r="J45" s="78"/>
      <x:c r="K45" s="78"/>
    </x:row>
    <x:row r="46">
      <x:c r="B46" s="78"/>
      <x:c r="C46" s="78"/>
      <x:c r="D46" s="78"/>
      <x:c r="E46" s="78"/>
      <x:c r="F46" s="78"/>
      <x:c r="G46" s="78"/>
      <x:c r="H46" s="78"/>
      <x:c r="I46" s="78"/>
      <x:c r="J46" s="78"/>
      <x:c r="K46" s="78"/>
    </x:row>
    <x:row r="47">
      <x:c r="B47" s="78"/>
      <x:c r="C47" s="78"/>
      <x:c r="D47" s="78"/>
      <x:c r="E47" s="78"/>
      <x:c r="F47" s="78"/>
      <x:c r="G47" s="78"/>
      <x:c r="H47" s="78"/>
      <x:c r="I47" s="78"/>
      <x:c r="J47" s="78"/>
      <x:c r="K47" s="78"/>
    </x:row>
    <x:row r="48">
      <x:c r="B48" s="78"/>
      <x:c r="C48" s="78"/>
      <x:c r="D48" s="78"/>
      <x:c r="E48" s="78"/>
      <x:c r="F48" s="78"/>
      <x:c r="G48" s="78"/>
      <x:c r="H48" s="78"/>
      <x:c r="I48" s="78"/>
      <x:c r="J48" s="78"/>
      <x:c r="K48" s="78"/>
    </x:row>
    <x:row r="49">
      <x:c r="B49" s="78"/>
      <x:c r="C49" s="78"/>
      <x:c r="D49" s="78"/>
      <x:c r="E49" s="78"/>
      <x:c r="F49" s="78"/>
      <x:c r="G49" s="78"/>
      <x:c r="H49" s="78"/>
      <x:c r="I49" s="78"/>
      <x:c r="J49" s="78"/>
      <x:c r="K49" s="78"/>
    </x:row>
    <x:row r="50">
      <x:c r="B50" s="78"/>
      <x:c r="C50" s="78"/>
      <x:c r="D50" s="78"/>
      <x:c r="E50" s="78"/>
      <x:c r="F50" s="78"/>
      <x:c r="G50" s="78"/>
      <x:c r="H50" s="78"/>
      <x:c r="I50" s="78"/>
      <x:c r="J50" s="78"/>
      <x:c r="K50" s="78"/>
    </x:row>
    <x:row r="51">
      <x:c r="B51" s="78"/>
      <x:c r="C51" s="78"/>
      <x:c r="D51" s="78"/>
      <x:c r="E51" s="78"/>
      <x:c r="F51" s="78"/>
      <x:c r="G51" s="78"/>
      <x:c r="H51" s="78"/>
      <x:c r="I51" s="78"/>
      <x:c r="J51" s="78"/>
      <x:c r="K51" s="78"/>
    </x:row>
    <x:row r="52">
      <x:c r="B52" s="78"/>
      <x:c r="C52" s="78"/>
      <x:c r="D52" s="78"/>
      <x:c r="E52" s="78"/>
      <x:c r="F52" s="78"/>
      <x:c r="G52" s="78"/>
      <x:c r="H52" s="78"/>
      <x:c r="I52" s="78"/>
      <x:c r="J52" s="78"/>
      <x:c r="K52" s="78"/>
    </x:row>
    <x:row r="53">
      <x:c r="B53" s="78"/>
      <x:c r="C53" s="78"/>
      <x:c r="D53" s="78"/>
      <x:c r="E53" s="78"/>
      <x:c r="F53" s="78"/>
      <x:c r="G53" s="78"/>
      <x:c r="H53" s="78"/>
      <x:c r="I53" s="78"/>
      <x:c r="J53" s="78"/>
      <x:c r="K53" s="78"/>
    </x:row>
    <x:row r="54">
      <x:c r="B54" s="78"/>
      <x:c r="C54" s="78"/>
      <x:c r="D54" s="78"/>
      <x:c r="E54" s="78"/>
      <x:c r="F54" s="78"/>
      <x:c r="G54" s="78"/>
      <x:c r="H54" s="78"/>
      <x:c r="I54" s="78"/>
      <x:c r="J54" s="78"/>
      <x:c r="K54" s="78"/>
    </x:row>
    <x:row r="55">
      <x:c r="B55" s="78"/>
      <x:c r="C55" s="78"/>
      <x:c r="D55" s="78"/>
      <x:c r="E55" s="78"/>
      <x:c r="F55" s="78"/>
      <x:c r="G55" s="78"/>
      <x:c r="H55" s="78"/>
      <x:c r="I55" s="78"/>
      <x:c r="J55" s="78"/>
      <x:c r="K55" s="78"/>
    </x:row>
    <x:row r="56">
      <x:c r="B56" s="78"/>
      <x:c r="C56" s="78"/>
      <x:c r="D56" s="78"/>
      <x:c r="E56" s="78"/>
      <x:c r="F56" s="78"/>
      <x:c r="G56" s="78"/>
      <x:c r="H56" s="78"/>
      <x:c r="I56" s="78"/>
      <x:c r="J56" s="78"/>
      <x:c r="K56" s="78"/>
    </x:row>
    <x:row r="57">
      <x:c r="B57" s="78"/>
      <x:c r="C57" s="78"/>
      <x:c r="D57" s="78"/>
      <x:c r="E57" s="78"/>
      <x:c r="F57" s="78"/>
      <x:c r="G57" s="78"/>
      <x:c r="H57" s="78"/>
      <x:c r="I57" s="78"/>
      <x:c r="J57" s="78"/>
      <x:c r="K57" s="78"/>
    </x:row>
    <x:row r="58">
      <x:c r="B58" s="78"/>
      <x:c r="C58" s="78"/>
      <x:c r="D58" s="78"/>
      <x:c r="E58" s="78"/>
      <x:c r="F58" s="78"/>
      <x:c r="G58" s="78"/>
      <x:c r="H58" s="78"/>
      <x:c r="I58" s="78"/>
      <x:c r="J58" s="78"/>
      <x:c r="K58" s="78"/>
    </x:row>
    <x:row r="59">
      <x:c r="B59" s="78"/>
      <x:c r="C59" s="78"/>
      <x:c r="D59" s="78"/>
      <x:c r="E59" s="78"/>
      <x:c r="F59" s="78"/>
      <x:c r="G59" s="78"/>
      <x:c r="H59" s="78"/>
      <x:c r="I59" s="78"/>
      <x:c r="J59" s="78"/>
      <x:c r="K59" s="78"/>
    </x:row>
    <x:row r="60">
      <x:c r="B60" s="78"/>
      <x:c r="C60" s="78"/>
      <x:c r="D60" s="78"/>
      <x:c r="E60" s="78"/>
      <x:c r="F60" s="78"/>
      <x:c r="G60" s="78"/>
      <x:c r="H60" s="78"/>
      <x:c r="I60" s="78"/>
      <x:c r="J60" s="78"/>
      <x:c r="K60" s="78"/>
    </x:row>
    <x:row r="61">
      <x:c r="B61" s="78"/>
      <x:c r="C61" s="78"/>
      <x:c r="D61" s="78"/>
      <x:c r="E61" s="78"/>
      <x:c r="F61" s="78"/>
      <x:c r="G61" s="78"/>
      <x:c r="H61" s="78"/>
      <x:c r="I61" s="78"/>
      <x:c r="J61" s="78"/>
      <x:c r="K61" s="78"/>
    </x:row>
    <x:row r="62">
      <x:c r="B62" s="78"/>
      <x:c r="C62" s="78"/>
      <x:c r="D62" s="78"/>
      <x:c r="E62" s="78"/>
      <x:c r="F62" s="78"/>
      <x:c r="G62" s="78"/>
      <x:c r="H62" s="78"/>
      <x:c r="I62" s="78"/>
      <x:c r="J62" s="78"/>
      <x:c r="K62" s="78"/>
    </x:row>
    <x:row r="63">
      <x:c r="B63" s="78"/>
      <x:c r="C63" s="78"/>
      <x:c r="D63" s="78"/>
      <x:c r="E63" s="78"/>
      <x:c r="F63" s="78"/>
      <x:c r="G63" s="78"/>
      <x:c r="H63" s="78"/>
      <x:c r="I63" s="78"/>
      <x:c r="J63" s="78"/>
      <x:c r="K63" s="78"/>
    </x:row>
    <x:row r="64">
      <x:c r="B64" s="78"/>
      <x:c r="C64" s="78"/>
      <x:c r="D64" s="78"/>
      <x:c r="E64" s="78"/>
      <x:c r="F64" s="78"/>
      <x:c r="G64" s="78"/>
      <x:c r="H64" s="78"/>
      <x:c r="I64" s="78"/>
      <x:c r="J64" s="78"/>
      <x:c r="K64" s="78"/>
    </x:row>
    <x:row r="65">
      <x:c r="B65" s="78"/>
      <x:c r="C65" s="78"/>
      <x:c r="D65" s="78"/>
      <x:c r="E65" s="78"/>
      <x:c r="F65" s="78"/>
      <x:c r="G65" s="78"/>
      <x:c r="H65" s="78"/>
      <x:c r="I65" s="78"/>
      <x:c r="J65" s="78"/>
      <x:c r="K65" s="78"/>
    </x:row>
    <x:row r="66">
      <x:c r="B66" s="78"/>
      <x:c r="C66" s="78"/>
      <x:c r="D66" s="78"/>
      <x:c r="E66" s="78"/>
      <x:c r="F66" s="78"/>
      <x:c r="G66" s="78"/>
      <x:c r="H66" s="78"/>
      <x:c r="I66" s="78"/>
      <x:c r="J66" s="78"/>
      <x:c r="K66" s="78"/>
    </x:row>
    <x:row r="67">
      <x:c r="B67" s="78"/>
      <x:c r="C67" s="78"/>
      <x:c r="D67" s="78"/>
      <x:c r="E67" s="78"/>
      <x:c r="F67" s="78"/>
      <x:c r="G67" s="78"/>
      <x:c r="H67" s="78"/>
      <x:c r="I67" s="78"/>
      <x:c r="J67" s="78"/>
      <x:c r="K67" s="78"/>
    </x:row>
    <x:row r="68">
      <x:c r="B68" s="78"/>
      <x:c r="C68" s="78"/>
      <x:c r="D68" s="78"/>
      <x:c r="E68" s="78"/>
      <x:c r="F68" s="78"/>
      <x:c r="G68" s="78"/>
      <x:c r="H68" s="78"/>
      <x:c r="I68" s="78"/>
      <x:c r="J68" s="78"/>
      <x:c r="K68" s="78"/>
    </x:row>
    <x:row r="69">
      <x:c r="B69" s="78"/>
      <x:c r="C69" s="78"/>
      <x:c r="D69" s="78"/>
      <x:c r="E69" s="78"/>
      <x:c r="F69" s="78"/>
      <x:c r="G69" s="78"/>
      <x:c r="H69" s="78"/>
      <x:c r="I69" s="78"/>
      <x:c r="J69" s="78"/>
      <x:c r="K69" s="78"/>
    </x:row>
    <x:row r="70">
      <x:c r="B70" s="78"/>
      <x:c r="C70" s="78"/>
      <x:c r="D70" s="78"/>
      <x:c r="E70" s="78"/>
      <x:c r="F70" s="78"/>
      <x:c r="G70" s="78"/>
      <x:c r="H70" s="78"/>
      <x:c r="I70" s="78"/>
      <x:c r="J70" s="78"/>
      <x:c r="K70" s="78"/>
    </x:row>
    <x:row r="71">
      <x:c r="B71" s="78"/>
      <x:c r="C71" s="78"/>
      <x:c r="D71" s="78"/>
      <x:c r="E71" s="78"/>
      <x:c r="F71" s="78"/>
      <x:c r="G71" s="78"/>
      <x:c r="H71" s="78"/>
      <x:c r="I71" s="78"/>
      <x:c r="J71" s="78"/>
      <x:c r="K71" s="78"/>
    </x:row>
    <x:row r="72">
      <x:c r="B72" s="78"/>
      <x:c r="C72" s="78"/>
      <x:c r="D72" s="78"/>
      <x:c r="E72" s="78"/>
      <x:c r="F72" s="78"/>
      <x:c r="G72" s="78"/>
      <x:c r="H72" s="78"/>
      <x:c r="I72" s="78"/>
      <x:c r="J72" s="78"/>
      <x:c r="K72" s="78"/>
    </x:row>
    <x:row r="73">
      <x:c r="B73" s="78"/>
      <x:c r="C73" s="78"/>
      <x:c r="D73" s="78"/>
      <x:c r="E73" s="78"/>
      <x:c r="F73" s="78"/>
      <x:c r="G73" s="78"/>
      <x:c r="H73" s="78"/>
      <x:c r="I73" s="78"/>
      <x:c r="J73" s="78"/>
      <x:c r="K73" s="78"/>
    </x:row>
    <x:row r="74">
      <x:c r="B74" s="78"/>
      <x:c r="C74" s="78"/>
      <x:c r="D74" s="78"/>
      <x:c r="E74" s="78"/>
      <x:c r="F74" s="78"/>
      <x:c r="G74" s="78"/>
      <x:c r="H74" s="78"/>
      <x:c r="I74" s="78"/>
      <x:c r="J74" s="78"/>
      <x:c r="K74" s="78"/>
    </x:row>
    <x:row r="75">
      <x:c r="B75" s="78"/>
      <x:c r="C75" s="78"/>
      <x:c r="D75" s="78"/>
      <x:c r="E75" s="78"/>
      <x:c r="F75" s="78"/>
      <x:c r="G75" s="78"/>
      <x:c r="H75" s="78"/>
      <x:c r="I75" s="78"/>
      <x:c r="J75" s="78"/>
      <x:c r="K75" s="78"/>
    </x:row>
    <x:row r="76">
      <x:c r="B76" s="78"/>
      <x:c r="C76" s="78"/>
      <x:c r="D76" s="78"/>
      <x:c r="E76" s="78"/>
      <x:c r="F76" s="78"/>
      <x:c r="G76" s="78"/>
      <x:c r="H76" s="78"/>
      <x:c r="I76" s="78"/>
      <x:c r="J76" s="78"/>
      <x:c r="K76" s="78"/>
    </x:row>
    <x:row r="77">
      <x:c r="B77" s="78"/>
      <x:c r="C77" s="78"/>
      <x:c r="D77" s="78"/>
      <x:c r="E77" s="78"/>
      <x:c r="F77" s="78"/>
      <x:c r="G77" s="78"/>
      <x:c r="H77" s="78"/>
      <x:c r="I77" s="78"/>
      <x:c r="J77" s="78"/>
      <x:c r="K77" s="78"/>
    </x:row>
    <x:row r="78">
      <x:c r="B78" s="78"/>
      <x:c r="C78" s="78"/>
      <x:c r="D78" s="78"/>
      <x:c r="E78" s="78"/>
      <x:c r="F78" s="78"/>
      <x:c r="G78" s="78"/>
      <x:c r="H78" s="78"/>
      <x:c r="I78" s="78"/>
      <x:c r="J78" s="78"/>
      <x:c r="K78" s="78"/>
    </x:row>
    <x:row r="79">
      <x:c r="B79" s="78"/>
      <x:c r="C79" s="78"/>
      <x:c r="D79" s="78"/>
      <x:c r="E79" s="78"/>
      <x:c r="F79" s="78"/>
      <x:c r="G79" s="78"/>
      <x:c r="H79" s="78"/>
      <x:c r="I79" s="78"/>
      <x:c r="J79" s="78"/>
      <x:c r="K79" s="78"/>
    </x:row>
    <x:row r="80">
      <x:c r="B80" s="78"/>
      <x:c r="C80" s="78"/>
      <x:c r="D80" s="78"/>
      <x:c r="E80" s="78"/>
      <x:c r="F80" s="78"/>
      <x:c r="G80" s="78"/>
      <x:c r="H80" s="78"/>
      <x:c r="I80" s="78"/>
      <x:c r="J80" s="78"/>
      <x:c r="K80" s="78"/>
    </x:row>
  </x:sheetData>
  <x:mergeCells>
    <x:mergeCell ref="B2:J3"/>
  </x:mergeCells>
  <x:dataValidations count="1">
    <x:dataValidation type="list" sqref="H6:H15">
      <x:formula1>"PENDING,RECEIVED,VERIFIED,NOT REQUIRED,SUPERSEDED"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2" max="2" width="24" hidden="0" customWidth="1"/>
    <x:col min="3" max="3" width="20" hidden="0" customWidth="1"/>
    <x:col min="4" max="4" width="20" hidden="0" customWidth="1"/>
    <x:col min="5" max="5" width="28" hidden="0" customWidth="1"/>
    <x:col min="6" max="6" width="28" hidden="0" customWidth="1"/>
    <x:col min="7" max="7" width="16" hidden="0" customWidth="1"/>
    <x:col min="8" max="8" width="20" hidden="0" customWidth="1"/>
    <x:col min="9" max="9" width="38" hidden="0" customWidth="1"/>
  </x:cols>
  <x:sheetData>
    <x:row r="2">
      <x:c r="B2" s="134" t="str">
        <x:v>INPUT ORIGIN &amp; ACQUISITION DICTIONARY</x:v>
      </x:c>
      <x:c r="C2" s="134"/>
      <x:c r="D2" s="134"/>
      <x:c r="E2" s="134"/>
      <x:c r="F2" s="134"/>
      <x:c r="G2" s="134"/>
      <x:c r="H2" s="134"/>
      <x:c r="I2" s="134"/>
    </x:row>
    <x:row r="4">
      <x:c r="B4" s="141" t="str">
        <x:v>Input / Parameter</x:v>
      </x:c>
      <x:c r="C4" s="141" t="str">
        <x:v>Workbook Location</x:v>
      </x:c>
      <x:c r="D4" s="141" t="str">
        <x:v>Origin Class</x:v>
      </x:c>
      <x:c r="E4" s="141" t="str">
        <x:v>Acquisition Method</x:v>
      </x:c>
      <x:c r="F4" s="141" t="str">
        <x:v>Primary Source</x:v>
      </x:c>
      <x:c r="G4" s="141" t="str">
        <x:v>Can Auto-Populate?</x:v>
      </x:c>
      <x:c r="H4" s="141" t="str">
        <x:v>Required Confirmation</x:v>
      </x:c>
      <x:c r="I4" s="141" t="str">
        <x:v>Notes</x:v>
      </x:c>
    </x:row>
    <x:row r="5">
      <x:c r="B5" s="142" t="str">
        <x:v>Project address</x:v>
      </x:c>
      <x:c r="C5" s="142" t="str">
        <x:v>01_INPUTS!C7</x:v>
      </x:c>
      <x:c r="D5" s="142" t="str">
        <x:v>Project</x:v>
      </x:c>
      <x:c r="E5" s="142" t="str">
        <x:v>User / project record</x:v>
      </x:c>
      <x:c r="F5" s="142" t="str">
        <x:v>Project documents</x:v>
      </x:c>
      <x:c r="G5" s="142" t="str">
        <x:v>Yes</x:v>
      </x:c>
      <x:c r="H5" s="142" t="str">
        <x:v>User</x:v>
      </x:c>
      <x:c r="I5" s="142" t="str">
        <x:v>Used to resolve jurisdiction and hazard location.</x:v>
      </x:c>
    </x:row>
    <x:row r="6">
      <x:c r="B6" s="142" t="str">
        <x:v>Risk Category</x:v>
      </x:c>
      <x:c r="C6" s="142" t="str">
        <x:v>01_INPUTS!C19</x:v>
      </x:c>
      <x:c r="D6" s="142" t="str">
        <x:v>Code / Judgment</x:v>
      </x:c>
      <x:c r="E6" s="142" t="str">
        <x:v>Derived from occupancy/use, then confirmed</x:v>
      </x:c>
      <x:c r="F6" s="142" t="str">
        <x:v>CBC / ASCE 7-22</x:v>
      </x:c>
      <x:c r="G6" s="142" t="str">
        <x:v>Suggest</x:v>
      </x:c>
      <x:c r="H6" s="142" t="str">
        <x:v>Engineer</x:v>
      </x:c>
      <x:c r="I6" s="142" t="str">
        <x:v>System may propose; final classification requires review.</x:v>
      </x:c>
    </x:row>
    <x:row r="7">
      <x:c r="B7" s="142" t="str">
        <x:v>Site Class</x:v>
      </x:c>
      <x:c r="C7" s="142" t="str">
        <x:v>01_INPUTS!C22</x:v>
      </x:c>
      <x:c r="D7" s="142" t="str">
        <x:v>Geotechnical / Judgment</x:v>
      </x:c>
      <x:c r="E7" s="142" t="str">
        <x:v>Geotechnical report or code-default pathway</x:v>
      </x:c>
      <x:c r="F7" s="142" t="str">
        <x:v>Geotechnical report / ASCE 7-22</x:v>
      </x:c>
      <x:c r="G7" s="142" t="str">
        <x:v>Conditional</x:v>
      </x:c>
      <x:c r="H7" s="142" t="str">
        <x:v>Engineer</x:v>
      </x:c>
      <x:c r="I7" s="142" t="str">
        <x:v>Never silently assume when geotechnical information controls.</x:v>
      </x:c>
    </x:row>
    <x:row r="8">
      <x:c r="B8" s="142" t="str">
        <x:v>Roof live load</x:v>
      </x:c>
      <x:c r="C8" s="142" t="str">
        <x:v>01_INPUTS!C38</x:v>
      </x:c>
      <x:c r="D8" s="142" t="str">
        <x:v>Code/Table</x:v>
      </x:c>
      <x:c r="E8" s="142" t="str">
        <x:v>Lookup from governing code based on use/geometry</x:v>
      </x:c>
      <x:c r="F8" s="142" t="str">
        <x:v>CBC / ASCE 7-22</x:v>
      </x:c>
      <x:c r="G8" s="142" t="str">
        <x:v>Yes</x:v>
      </x:c>
      <x:c r="H8" s="142" t="str">
        <x:v>Engineer</x:v>
      </x:c>
      <x:c r="I8" s="142" t="str">
        <x:v>Store exact table/section reference with selected value.</x:v>
      </x:c>
    </x:row>
    <x:row r="9">
      <x:c r="B9" s="142" t="str">
        <x:v>Floor live load</x:v>
      </x:c>
      <x:c r="C9" s="142" t="str">
        <x:v>01_INPUTS!C40</x:v>
      </x:c>
      <x:c r="D9" s="142" t="str">
        <x:v>Code/Table</x:v>
      </x:c>
      <x:c r="E9" s="142" t="str">
        <x:v>Lookup by occupancy/use</x:v>
      </x:c>
      <x:c r="F9" s="142" t="str">
        <x:v>CBC / ASCE 7-22</x:v>
      </x:c>
      <x:c r="G9" s="142" t="str">
        <x:v>Yes</x:v>
      </x:c>
      <x:c r="H9" s="142" t="str">
        <x:v>Engineer</x:v>
      </x:c>
      <x:c r="I9" s="142" t="str">
        <x:v>Store occupancy mapping and exact table row.</x:v>
      </x:c>
    </x:row>
    <x:row r="10">
      <x:c r="B10" s="142" t="str">
        <x:v>Basic wind speed Vult</x:v>
      </x:c>
      <x:c r="C10" s="142" t="str">
        <x:v>01_INPUTS!C44</x:v>
      </x:c>
      <x:c r="D10" s="142" t="str">
        <x:v>API / Hazard</x:v>
      </x:c>
      <x:c r="E10" s="142" t="str">
        <x:v>Location-based hazard lookup</x:v>
      </x:c>
      <x:c r="F10" s="142" t="str">
        <x:v>ASCE 7-22 hazard source / AHJ</x:v>
      </x:c>
      <x:c r="G10" s="142" t="str">
        <x:v>Yes</x:v>
      </x:c>
      <x:c r="H10" s="142" t="str">
        <x:v>Engineer</x:v>
      </x:c>
      <x:c r="I10" s="142" t="str">
        <x:v>Record retrieval date and source response.</x:v>
      </x:c>
    </x:row>
    <x:row r="11">
      <x:c r="B11" s="142" t="str">
        <x:v>Exposure Category</x:v>
      </x:c>
      <x:c r="C11" s="142" t="str">
        <x:v>01_INPUTS!C45</x:v>
      </x:c>
      <x:c r="D11" s="142" t="str">
        <x:v>Engineer Judgment</x:v>
      </x:c>
      <x:c r="E11" s="142" t="str">
        <x:v>Site exposure classification</x:v>
      </x:c>
      <x:c r="F11" s="142" t="str">
        <x:v>ASCE 7-22</x:v>
      </x:c>
      <x:c r="G11" s="142" t="str">
        <x:v>No</x:v>
      </x:c>
      <x:c r="H11" s="142" t="str">
        <x:v>Engineer</x:v>
      </x:c>
      <x:c r="I11" s="142" t="str">
        <x:v>App can explain criteria but should not auto-decide without confirmation.</x:v>
      </x:c>
    </x:row>
    <x:row r="12">
      <x:c r="B12" s="142" t="str">
        <x:v>Kzt</x:v>
      </x:c>
      <x:c r="C12" s="142" t="str">
        <x:v>01_INPUTS!C46</x:v>
      </x:c>
      <x:c r="D12" s="142" t="str">
        <x:v>Code / Judgment</x:v>
      </x:c>
      <x:c r="E12" s="142" t="str">
        <x:v>Topographic evaluation</x:v>
      </x:c>
      <x:c r="F12" s="142" t="str">
        <x:v>ASCE 7-22</x:v>
      </x:c>
      <x:c r="G12" s="142" t="str">
        <x:v>Conditional</x:v>
      </x:c>
      <x:c r="H12" s="142" t="str">
        <x:v>Engineer</x:v>
      </x:c>
      <x:c r="I12" s="142" t="str">
        <x:v>Derived only after terrain/topography inputs are confirmed.</x:v>
      </x:c>
    </x:row>
    <x:row r="13">
      <x:c r="B13" s="142" t="str">
        <x:v>Kd</x:v>
      </x:c>
      <x:c r="C13" s="142" t="str">
        <x:v>01_INPUTS!C47</x:v>
      </x:c>
      <x:c r="D13" s="142" t="str">
        <x:v>Code/Table</x:v>
      </x:c>
      <x:c r="E13" s="142" t="str">
        <x:v>System lookup by MWFRS/component condition</x:v>
      </x:c>
      <x:c r="F13" s="142" t="str">
        <x:v>ASCE 7-22</x:v>
      </x:c>
      <x:c r="G13" s="142" t="str">
        <x:v>Yes</x:v>
      </x:c>
      <x:c r="H13" s="142" t="str">
        <x:v>Engineer</x:v>
      </x:c>
      <x:c r="I13" s="142" t="str">
        <x:v>Exact table/section must be attached to calculation trace.</x:v>
      </x:c>
    </x:row>
    <x:row r="14">
      <x:c r="B14" s="142" t="str">
        <x:v>Latitude / Longitude</x:v>
      </x:c>
      <x:c r="C14" s="142" t="str">
        <x:v>01_INPUTS!C50:C51</x:v>
      </x:c>
      <x:c r="D14" s="142" t="str">
        <x:v>API / Project</x:v>
      </x:c>
      <x:c r="E14" s="142" t="str">
        <x:v>Geocode project address or enter survey coordinates</x:v>
      </x:c>
      <x:c r="F14" s="142" t="str">
        <x:v>Project / geocoder</x:v>
      </x:c>
      <x:c r="G14" s="142" t="str">
        <x:v>Yes</x:v>
      </x:c>
      <x:c r="H14" s="142" t="str">
        <x:v>User</x:v>
      </x:c>
      <x:c r="I14" s="142" t="str">
        <x:v>Preserve entered and resolved coordinates.</x:v>
      </x:c>
    </x:row>
    <x:row r="15">
      <x:c r="B15" s="142" t="str">
        <x:v>SDS / SD1 / TL</x:v>
      </x:c>
      <x:c r="C15" s="142" t="str">
        <x:v>01_INPUTS!C52:C55</x:v>
      </x:c>
      <x:c r="D15" s="142" t="str">
        <x:v>API / Hazard</x:v>
      </x:c>
      <x:c r="E15" s="142" t="str">
        <x:v>USGS ASCE 7-22 service</x:v>
      </x:c>
      <x:c r="F15" s="142" t="str">
        <x:v>USGS</x:v>
      </x:c>
      <x:c r="G15" s="142" t="str">
        <x:v>Yes</x:v>
      </x:c>
      <x:c r="H15" s="142" t="str">
        <x:v>Engineer</x:v>
      </x:c>
      <x:c r="I15" s="142" t="str">
        <x:v>Store raw response, timestamp, and request parameters.</x:v>
      </x:c>
    </x:row>
    <x:row r="16">
      <x:c r="B16" s="142" t="str">
        <x:v>Species / grade</x:v>
      </x:c>
      <x:c r="C16" s="142" t="str">
        <x:v>01_INPUTS!C58:C59</x:v>
      </x:c>
      <x:c r="D16" s="142" t="str">
        <x:v>Project / Material</x:v>
      </x:c>
      <x:c r="E16" s="142" t="str">
        <x:v>Selected framing material</x:v>
      </x:c>
      <x:c r="F16" s="142" t="str">
        <x:v>Plans/specifications</x:v>
      </x:c>
      <x:c r="G16" s="142" t="str">
        <x:v>No</x:v>
      </x:c>
      <x:c r="H16" s="142" t="str">
        <x:v>Engineer</x:v>
      </x:c>
      <x:c r="I16" s="142" t="str">
        <x:v>Selection drives design-value lookup.</x:v>
      </x:c>
    </x:row>
    <x:row r="17">
      <x:c r="B17" s="142" t="str">
        <x:v>E / Fb / Fv / Fc⊥</x:v>
      </x:c>
      <x:c r="C17" s="142" t="str">
        <x:v>01_INPUTS!C60:C63</x:v>
      </x:c>
      <x:c r="D17" s="142" t="str">
        <x:v>Code/Table</x:v>
      </x:c>
      <x:c r="E17" s="142" t="str">
        <x:v>Lookup after species/grade/product selection</x:v>
      </x:c>
      <x:c r="F17" s="142" t="str">
        <x:v>NDS Supplement / manufacturer</x:v>
      </x:c>
      <x:c r="G17" s="142" t="str">
        <x:v>Yes</x:v>
      </x:c>
      <x:c r="H17" s="142" t="str">
        <x:v>Engineer</x:v>
      </x:c>
      <x:c r="I17" s="142" t="str">
        <x:v>Do not require manual entry once the material library is implemented.</x:v>
      </x:c>
    </x:row>
    <x:row r="18">
      <x:c r="B18" s="140" t="str">
        <x:v>Wind procedure</x:v>
      </x:c>
      <x:c r="C18" s="140" t="str">
        <x:v>01_INPUTS!C66</x:v>
      </x:c>
      <x:c r="D18" s="140" t="str">
        <x:v>Code / Method</x:v>
      </x:c>
      <x:c r="E18" s="140" t="str">
        <x:v>Select applicable ASCE 7-22 procedure after geometry check</x:v>
      </x:c>
      <x:c r="F18" s="140" t="str">
        <x:v>ASCE 7-22 Ch. 27/28</x:v>
      </x:c>
      <x:c r="G18" s="140" t="str">
        <x:v>Suggest</x:v>
      </x:c>
      <x:c r="H18" s="140" t="str">
        <x:v>Engineer</x:v>
      </x:c>
      <x:c r="I18" s="140" t="str">
        <x:v>Chapter 28 module flags low-rise eligibility; Chapter 27 remains future scope.</x:v>
      </x:c>
    </x:row>
    <x:row r="19">
      <x:c r="B19" s="140" t="str">
        <x:v>Enclosure classification</x:v>
      </x:c>
      <x:c r="C19" s="140" t="str">
        <x:v>01_INPUTS!C67</x:v>
      </x:c>
      <x:c r="D19" s="140" t="str">
        <x:v>Code / Judgment</x:v>
      </x:c>
      <x:c r="E19" s="140" t="str">
        <x:v>Classify openings / envelope</x:v>
      </x:c>
      <x:c r="F19" s="140" t="str">
        <x:v>ASCE 7-22 §§26.12-26.13</x:v>
      </x:c>
      <x:c r="G19" s="140" t="str">
        <x:v>Suggest</x:v>
      </x:c>
      <x:c r="H19" s="140" t="str">
        <x:v>Engineer</x:v>
      </x:c>
      <x:c r="I19" s="140" t="str">
        <x:v>Drives GCpi; never silently assume.</x:v>
      </x:c>
    </x:row>
    <x:row r="20">
      <x:c r="B20" s="140" t="str">
        <x:v>Roof type / slope</x:v>
      </x:c>
      <x:c r="C20" s="140" t="str">
        <x:v>01_INPUTS!C68:C69</x:v>
      </x:c>
      <x:c r="D20" s="140" t="str">
        <x:v>Project</x:v>
      </x:c>
      <x:c r="E20" s="140" t="str">
        <x:v>Plans / geometry</x:v>
      </x:c>
      <x:c r="F20" s="140" t="str">
        <x:v>Project drawings</x:v>
      </x:c>
      <x:c r="G20" s="140" t="str">
        <x:v>Yes</x:v>
      </x:c>
      <x:c r="H20" s="140" t="str">
        <x:v>Engineer</x:v>
      </x:c>
      <x:c r="I20" s="140" t="str">
        <x:v>Used for method applicability and coefficient selection.</x:v>
      </x:c>
    </x:row>
    <x:row r="21">
      <x:c r="B21" s="140" t="str">
        <x:v>Ground elevation factor Ke</x:v>
      </x:c>
      <x:c r="C21" s="140" t="str">
        <x:v>01_INPUTS!C70</x:v>
      </x:c>
      <x:c r="D21" s="140" t="str">
        <x:v>Code / Site</x:v>
      </x:c>
      <x:c r="E21" s="140" t="str">
        <x:v>Derive from project elevation / ASCE table</x:v>
      </x:c>
      <x:c r="F21" s="140" t="str">
        <x:v>ASCE 7-22 §26.9</x:v>
      </x:c>
      <x:c r="G21" s="140" t="str">
        <x:v>Yes</x:v>
      </x:c>
      <x:c r="H21" s="140" t="str">
        <x:v>Engineer</x:v>
      </x:c>
      <x:c r="I21" s="140" t="str">
        <x:v>Current workbook requires verified Ke entry; web app can automate.</x:v>
      </x:c>
    </x:row>
    <x:row r="22">
      <x:c r="B22" s="140" t="str">
        <x:v>C&amp;C effective wind area</x:v>
      </x:c>
      <x:c r="C22" s="140" t="str">
        <x:v>01_INPUTS!C71</x:v>
      </x:c>
      <x:c r="D22" s="140" t="str">
        <x:v>Project / Geometry</x:v>
      </x:c>
      <x:c r="E22" s="140" t="str">
        <x:v>Derived from supported component / fastener tributary area</x:v>
      </x:c>
      <x:c r="F22" s="140" t="str">
        <x:v>ASCE 7-22 Ch. 30</x:v>
      </x:c>
      <x:c r="G22" s="140" t="str">
        <x:v>Yes</x:v>
      </x:c>
      <x:c r="H22" s="140" t="str">
        <x:v>Engineer</x:v>
      </x:c>
      <x:c r="I22" s="140" t="str">
        <x:v>Used when selecting GCp from the licensed standard.</x:v>
      </x:c>
    </x:row>
    <x:row r="23">
      <x:c r="B23" s="140" t="str">
        <x:v>Wind hazard source</x:v>
      </x:c>
      <x:c r="C23" s="140" t="str">
        <x:v>01_INPUTS!C72:C73</x:v>
      </x:c>
      <x:c r="D23" s="140" t="str">
        <x:v>Hazard / Record</x:v>
      </x:c>
      <x:c r="E23" s="140" t="str">
        <x:v>ASCE Hazard Tool API/report or AHJ source</x:v>
      </x:c>
      <x:c r="F23" s="140" t="str">
        <x:v>ASCE Hazard Tool / CBC</x:v>
      </x:c>
      <x:c r="G23" s="140" t="str">
        <x:v>Yes</x:v>
      </x:c>
      <x:c r="H23" s="140" t="str">
        <x:v>Engineer</x:v>
      </x:c>
      <x:c r="I23" s="140" t="str">
        <x:v>Preserve source identifier and retrieval date.</x:v>
      </x:c>
    </x:row>
    <x:row r="24">
      <x:c r="B24" s="140" t="str">
        <x:v>Ss / S1</x:v>
      </x:c>
      <x:c r="C24" s="140" t="str">
        <x:v>01_INPUTS!C78 / C77</x:v>
      </x:c>
      <x:c r="D24" s="140" t="str">
        <x:v>API / Hazard</x:v>
      </x:c>
      <x:c r="E24" s="140" t="str">
        <x:v>USGS ASCE 7-22 service</x:v>
      </x:c>
      <x:c r="F24" s="140" t="str">
        <x:v>USGS</x:v>
      </x:c>
      <x:c r="G24" s="140" t="str">
        <x:v>Yes</x:v>
      </x:c>
      <x:c r="H24" s="140" t="str">
        <x:v>Engineer</x:v>
      </x:c>
      <x:c r="I24" s="140" t="str">
        <x:v>Raw returned mapped MCER parameters retained with source response.</x:v>
      </x:c>
    </x:row>
    <x:row r="25">
      <x:c r="B25" s="140" t="str">
        <x:v>Effective seismic weight W</x:v>
      </x:c>
      <x:c r="C25" s="140" t="str">
        <x:v>01_INPUTS!C80 + level weights</x:v>
      </x:c>
      <x:c r="D25" s="140" t="str">
        <x:v>Project / Calculation</x:v>
      </x:c>
      <x:c r="E25" s="140" t="str">
        <x:v>Weight takeoff per ASCE 7-22 §12.7.2</x:v>
      </x:c>
      <x:c r="F25" s="140" t="str">
        <x:v>ASCE 7-22 / project model</x:v>
      </x:c>
      <x:c r="G25" s="140" t="str">
        <x:v>Yes</x:v>
      </x:c>
      <x:c r="H25" s="140" t="str">
        <x:v>Engineer</x:v>
      </x:c>
      <x:c r="I25" s="140" t="str">
        <x:v>Explicit override permitted; otherwise module sums entered level weights.</x:v>
      </x:c>
    </x:row>
    <x:row r="26">
      <x:c r="B26" s="140" t="str">
        <x:v>R / Ω0 / Cd</x:v>
      </x:c>
      <x:c r="C26" s="140" t="str">
        <x:v>01_INPUTS!C83:C88</x:v>
      </x:c>
      <x:c r="D26" s="140" t="str">
        <x:v>Code/Table</x:v>
      </x:c>
      <x:c r="E26" s="140" t="str">
        <x:v>Lookup by selected seismic force-resisting system</x:v>
      </x:c>
      <x:c r="F26" s="140" t="str">
        <x:v>ASCE 7-22 Table 12.2-1</x:v>
      </x:c>
      <x:c r="G26" s="140" t="str">
        <x:v>Yes</x:v>
      </x:c>
      <x:c r="H26" s="140" t="str">
        <x:v>Engineer</x:v>
      </x:c>
      <x:c r="I26" s="140" t="str">
        <x:v>Do not manually key in final app; selection should populate controlled values.</x:v>
      </x:c>
    </x:row>
    <x:row r="27">
      <x:c r="B27" s="140" t="str">
        <x:v>Ct / x</x:v>
      </x:c>
      <x:c r="C27" s="140" t="str">
        <x:v>01_INPUTS!C89:C92</x:v>
      </x:c>
      <x:c r="D27" s="140" t="str">
        <x:v>Code/Table</x:v>
      </x:c>
      <x:c r="E27" s="140" t="str">
        <x:v>Lookup by selected system</x:v>
      </x:c>
      <x:c r="F27" s="140" t="str">
        <x:v>ASCE 7-22 Table 12.8-2</x:v>
      </x:c>
      <x:c r="G27" s="140" t="str">
        <x:v>Yes</x:v>
      </x:c>
      <x:c r="H27" s="140" t="str">
        <x:v>Engineer</x:v>
      </x:c>
      <x:c r="I27" s="140" t="str">
        <x:v>Drives approximate fundamental period Ta.</x:v>
      </x:c>
    </x:row>
    <x:row r="28">
      <x:c r="B28" s="140" t="str">
        <x:v>Cu</x:v>
      </x:c>
      <x:c r="C28" s="140" t="str">
        <x:v>01_INPUTS!C93</x:v>
      </x:c>
      <x:c r="D28" s="140" t="str">
        <x:v>Code/Table</x:v>
      </x:c>
      <x:c r="E28" s="140" t="str">
        <x:v>Lookup based on seismic parameter</x:v>
      </x:c>
      <x:c r="F28" s="140" t="str">
        <x:v>ASCE 7-22 Table 12.8-1</x:v>
      </x:c>
      <x:c r="G28" s="140" t="str">
        <x:v>Yes</x:v>
      </x:c>
      <x:c r="H28" s="140" t="str">
        <x:v>Engineer</x:v>
      </x:c>
      <x:c r="I28" s="140" t="str">
        <x:v>Only required when an analytical period is used.</x:v>
      </x:c>
    </x:row>
    <x:row r="29">
      <x:c r="B29" s="140" t="str">
        <x:v>Analytical period Tx / Ty</x:v>
      </x:c>
      <x:c r="C29" s="140" t="str">
        <x:v>01_INPUTS!C94:C95</x:v>
      </x:c>
      <x:c r="D29" s="140" t="str">
        <x:v>Analysis / Judgment</x:v>
      </x:c>
      <x:c r="E29" s="140" t="str">
        <x:v>Structural analysis model</x:v>
      </x:c>
      <x:c r="F29" s="140" t="str">
        <x:v>Project analysis</x:v>
      </x:c>
      <x:c r="G29" s="140" t="str">
        <x:v>Conditional</x:v>
      </x:c>
      <x:c r="H29" s="140" t="str">
        <x:v>Engineer</x:v>
      </x:c>
      <x:c r="I29" s="140" t="str">
        <x:v>If blank, workbook uses Ta; if provided, capped by CuTa.</x:v>
      </x:c>
    </x:row>
    <x:row r="30">
      <x:c r="B30" s="140" t="str">
        <x:v>Redundancy factor ρ</x:v>
      </x:c>
      <x:c r="C30" s="140" t="str">
        <x:v>01_INPUTS!C96:C97</x:v>
      </x:c>
      <x:c r="D30" s="140" t="str">
        <x:v>Code / Judgment</x:v>
      </x:c>
      <x:c r="E30" s="140" t="str">
        <x:v>ASCE redundancy evaluation</x:v>
      </x:c>
      <x:c r="F30" s="140" t="str">
        <x:v>ASCE 7-22 §12.3.4</x:v>
      </x:c>
      <x:c r="G30" s="140" t="str">
        <x:v>Suggest</x:v>
      </x:c>
      <x:c r="H30" s="140" t="str">
        <x:v>Engineer</x:v>
      </x:c>
      <x:c r="I30" s="140" t="str">
        <x:v>1.0 or 1.3 depending on category/system/redundancy criteria.</x:v>
      </x:c>
    </x:row>
    <x:row r="31">
      <x:c r="B31" s="140" t="str">
        <x:v>Seismic level heights</x:v>
      </x:c>
      <x:c r="C31" s="140" t="str">
        <x:v>01_INPUTS!C104:C114 even rows</x:v>
      </x:c>
      <x:c r="D31" s="140" t="str">
        <x:v>Project / Geometry</x:v>
      </x:c>
      <x:c r="E31" s="140" t="str">
        <x:v>Model / plans</x:v>
      </x:c>
      <x:c r="F31" s="140" t="str">
        <x:v>Project model</x:v>
      </x:c>
      <x:c r="G31" s="140" t="str">
        <x:v>Yes</x:v>
      </x:c>
      <x:c r="H31" s="140" t="str">
        <x:v>Engineer</x:v>
      </x:c>
      <x:c r="I31" s="140" t="str">
        <x:v>Cumulative elevation above base.</x:v>
      </x:c>
    </x:row>
    <x:row r="32">
      <x:c r="B32" s="140" t="str">
        <x:v>Seismic level weights</x:v>
      </x:c>
      <x:c r="C32" s="140" t="str">
        <x:v>01_INPUTS!C105:C115 odd rows</x:v>
      </x:c>
      <x:c r="D32" s="140" t="str">
        <x:v>Project / Calculation</x:v>
      </x:c>
      <x:c r="E32" s="140" t="str">
        <x:v>Automated weight takeoff / manual check</x:v>
      </x:c>
      <x:c r="F32" s="140" t="str">
        <x:v>ASCE 7-22 §12.7.2</x:v>
      </x:c>
      <x:c r="G32" s="140" t="str">
        <x:v>Yes</x:v>
      </x:c>
      <x:c r="H32" s="140" t="str">
        <x:v>Engineer</x:v>
      </x:c>
      <x:c r="I32" s="140" t="str">
        <x:v>Future model/GIS/CAD takeoff can populate.</x:v>
      </x:c>
    </x:row>
    <x:row r="33">
      <x:c r="B33" s="140" t="str">
        <x:v>Seismic system X/Y</x:v>
      </x:c>
      <x:c r="C33" s="140" t="str">
        <x:v>01_INPUTS!C81:C82</x:v>
      </x:c>
      <x:c r="D33" s="140" t="str">
        <x:v>Code / Project</x:v>
      </x:c>
      <x:c r="E33" s="140" t="str">
        <x:v>Selected SFRS</x:v>
      </x:c>
      <x:c r="F33" s="140" t="str">
        <x:v>ASCE 7-22 Table 12.2-1</x:v>
      </x:c>
      <x:c r="G33" s="140" t="str">
        <x:v>Suggest</x:v>
      </x:c>
      <x:c r="H33" s="140" t="str">
        <x:v>Engineer</x:v>
      </x:c>
      <x:c r="I33" s="140" t="str">
        <x:v>Controls R, Ω0, Cd, Ct and x.</x:v>
      </x:c>
    </x:row>
    <x:row r="34">
      <x:c r="B34" s="140" t="str">
        <x:v>Seismic hazard report ID/date</x:v>
      </x:c>
      <x:c r="C34" s="140" t="str">
        <x:v>01_INPUTS!C99:C100</x:v>
      </x:c>
      <x:c r="D34" s="140" t="str">
        <x:v>Record / Source</x:v>
      </x:c>
      <x:c r="E34" s="140" t="str">
        <x:v>API response or attached report</x:v>
      </x:c>
      <x:c r="F34" s="140" t="str">
        <x:v>USGS / ASCE Hazard Tool</x:v>
      </x:c>
      <x:c r="G34" s="140" t="str">
        <x:v>Yes</x:v>
      </x:c>
      <x:c r="H34" s="140" t="str">
        <x:v>Engineer</x:v>
      </x:c>
      <x:c r="I34" s="140" t="str">
        <x:v>Stored for appendix provenance.</x:v>
      </x:c>
    </x:row>
    <x:row r="35">
      <x:c r="B35" s="140" t="str">
        <x:v>Seismic review</x:v>
      </x:c>
      <x:c r="C35" s="140" t="str">
        <x:v>01_INPUTS!C101</x:v>
      </x:c>
      <x:c r="D35" s="140" t="str">
        <x:v>Engineer Judgment</x:v>
      </x:c>
      <x:c r="E35" s="140" t="str">
        <x:v>Review note / signoff</x:v>
      </x:c>
      <x:c r="F35" s="140" t="str">
        <x:v>Project QA</x:v>
      </x:c>
      <x:c r="G35" s="140" t="str">
        <x:v>No</x:v>
      </x:c>
      <x:c r="H35" s="140" t="str">
        <x:v>Engineer</x:v>
      </x:c>
      <x:c r="I35" s="140" t="str">
        <x:v>Captures procedure applicability and unresolved controls.</x:v>
      </x:c>
    </x:row>
    <x:row r="36">
      <x:c r="B36" s="140" t="str">
        <x:v>Seismic method</x:v>
      </x:c>
      <x:c r="C36" s="140" t="str">
        <x:v>01_INPUTS!C98</x:v>
      </x:c>
      <x:c r="D36" s="140" t="str">
        <x:v>Code / Method</x:v>
      </x:c>
      <x:c r="E36" s="140" t="str">
        <x:v>Current engine = ELF Method 2</x:v>
      </x:c>
      <x:c r="F36" s="140" t="str">
        <x:v>ASCE 7-22 §12.8.1.1</x:v>
      </x:c>
      <x:c r="G36" s="140" t="str">
        <x:v>Suggest</x:v>
      </x:c>
      <x:c r="H36" s="140" t="str">
        <x:v>Engineer</x:v>
      </x:c>
      <x:c r="I36" s="140" t="str">
        <x:v>Method 1/MPRS can be added later to web engine.</x:v>
      </x:c>
    </x:row>
    <x:row r="37">
      <x:c r="B37" t="str">
        <x:v>Member mark / use / load basis</x:v>
      </x:c>
      <x:c r="C37" t="str">
        <x:v>01_INPUTS!C119:C121</x:v>
      </x:c>
      <x:c r="D37" t="str">
        <x:v>Project / Configuration</x:v>
      </x:c>
      <x:c r="E37" t="str">
        <x:v>Plans / user selection</x:v>
      </x:c>
      <x:c r="F37" t="str">
        <x:v>Project drawings</x:v>
      </x:c>
      <x:c r="G37" t="str">
        <x:v>Yes</x:v>
      </x:c>
      <x:c r="H37" t="str">
        <x:v>Engineer</x:v>
      </x:c>
      <x:c r="I37" t="str">
        <x:v>Drives schedule identity and roof/floor load source.</x:v>
      </x:c>
    </x:row>
    <x:row r="38">
      <x:c r="B38" t="str">
        <x:v>Bearing lengths</x:v>
      </x:c>
      <x:c r="C38" t="str">
        <x:v>01_INPUTS!C122:C123</x:v>
      </x:c>
      <x:c r="D38" t="str">
        <x:v>Project / Geometry</x:v>
      </x:c>
      <x:c r="E38" t="str">
        <x:v>Plans / support geometry</x:v>
      </x:c>
      <x:c r="F38" t="str">
        <x:v>Project drawings</x:v>
      </x:c>
      <x:c r="G38" t="str">
        <x:v>Yes</x:v>
      </x:c>
      <x:c r="H38" t="str">
        <x:v>Engineer</x:v>
      </x:c>
      <x:c r="I38" t="str">
        <x:v>Used for compression-perpendicular-to-grain bearing checks.</x:v>
      </x:c>
    </x:row>
    <x:row r="39">
      <x:c r="B39" t="str">
        <x:v>Deflection limits</x:v>
      </x:c>
      <x:c r="C39" t="str">
        <x:v>01_INPUTS!C124:C125</x:v>
      </x:c>
      <x:c r="D39" t="str">
        <x:v>Code / Project</x:v>
      </x:c>
      <x:c r="E39" t="str">
        <x:v>Lookup from governing criteria, then confirm</x:v>
      </x:c>
      <x:c r="F39" t="str">
        <x:v>CBC / project criteria</x:v>
      </x:c>
      <x:c r="G39" t="str">
        <x:v>Yes</x:v>
      </x:c>
      <x:c r="H39" t="str">
        <x:v>Engineer</x:v>
      </x:c>
      <x:c r="I39" t="str">
        <x:v>Kept separate for live and total deflection.</x:v>
      </x:c>
    </x:row>
    <x:row r="40">
      <x:c r="B40" t="str">
        <x:v>Wood adjustment factors</x:v>
      </x:c>
      <x:c r="C40" t="str">
        <x:v>01_INPUTS!C126:C139</x:v>
      </x:c>
      <x:c r="D40" t="str">
        <x:v>Code / Table / Judgment</x:v>
      </x:c>
      <x:c r="E40" t="str">
        <x:v>Licensed NDS lookup after material/use/environment definition</x:v>
      </x:c>
      <x:c r="F40" t="str">
        <x:v>2024 NDS</x:v>
      </x:c>
      <x:c r="G40" t="str">
        <x:v>Yes</x:v>
      </x:c>
      <x:c r="H40" t="str">
        <x:v>Engineer</x:v>
      </x:c>
      <x:c r="I40" t="str">
        <x:v>No silent defaults in the workbook; every factor must be sourced or confirmed.</x:v>
      </x:c>
    </x:row>
    <x:row r="41">
      <x:c r="B41" t="str">
        <x:v>Wood source records</x:v>
      </x:c>
      <x:c r="C41" t="str">
        <x:v>01_INPUTS!C140:C141</x:v>
      </x:c>
      <x:c r="D41" t="str">
        <x:v>Record / Source</x:v>
      </x:c>
      <x:c r="E41" t="str">
        <x:v>NDS Supplement / manufacturer / licensed table record</x:v>
      </x:c>
      <x:c r="F41" t="str">
        <x:v>SRC-04 / SRC-05 / manufacturer</x:v>
      </x:c>
      <x:c r="G41" t="str">
        <x:v>Yes</x:v>
      </x:c>
      <x:c r="H41" t="str">
        <x:v>Engineer</x:v>
      </x:c>
      <x:c r="I41" t="str">
        <x:v>Preserve exact edition/table/product source used for values and factors.</x:v>
      </x:c>
    </x:row>
    <x:row r="42">
      <x:c r="B42" t="str">
        <x:v>Wood member design review</x:v>
      </x:c>
      <x:c r="C42" t="str">
        <x:v>01_INPUTS!C142</x:v>
      </x:c>
      <x:c r="D42" t="str">
        <x:v>Engineer Judgment</x:v>
      </x:c>
      <x:c r="E42" t="str">
        <x:v>Review/signoff note</x:v>
      </x:c>
      <x:c r="F42" t="str">
        <x:v>Project QA</x:v>
      </x:c>
      <x:c r="G42" t="str">
        <x:v>No</x:v>
      </x:c>
      <x:c r="H42" t="str">
        <x:v>Engineer</x:v>
      </x:c>
      <x:c r="I42" t="str">
        <x:v>Captures notches, holes, bracing, concentrated loads, and other conditions outside the current uniform-load engine.</x:v>
      </x:c>
    </x:row>
    <x:row r="43">
      <x:c r="B43" t="str">
        <x:v>Column mark / use / material type</x:v>
      </x:c>
      <x:c r="C43" t="str">
        <x:v>01_INPUTS!C145:C147</x:v>
      </x:c>
      <x:c r="D43" t="str">
        <x:v>Project / Configuration</x:v>
      </x:c>
      <x:c r="E43" t="str">
        <x:v>Plans / user selection</x:v>
      </x:c>
      <x:c r="F43" t="str">
        <x:v>Project drawings / material spec</x:v>
      </x:c>
      <x:c r="G43" t="str">
        <x:v>Yes</x:v>
      </x:c>
      <x:c r="H43" t="str">
        <x:v>Engineer</x:v>
      </x:c>
      <x:c r="I43" t="str">
        <x:v>Controls schedule identity and c parameter/material handling.</x:v>
      </x:c>
    </x:row>
    <x:row r="44">
      <x:c r="B44" t="str">
        <x:v>Column geometry and axial demand</x:v>
      </x:c>
      <x:c r="C44" t="str">
        <x:v>01_INPUTS!C148:C152</x:v>
      </x:c>
      <x:c r="D44" t="str">
        <x:v>Project / Calculation</x:v>
      </x:c>
      <x:c r="E44" t="str">
        <x:v>Plans/model + load path</x:v>
      </x:c>
      <x:c r="F44" t="str">
        <x:v>Project model / load combinations</x:v>
      </x:c>
      <x:c r="G44" t="str">
        <x:v>Yes</x:v>
      </x:c>
      <x:c r="H44" t="str">
        <x:v>Engineer</x:v>
      </x:c>
      <x:c r="I44" t="str">
        <x:v>Demand must remain traceable to governing load combination.</x:v>
      </x:c>
    </x:row>
    <x:row r="45">
      <x:c r="B45" t="str">
        <x:v>Effective length factors Ke</x:v>
      </x:c>
      <x:c r="C45" t="str">
        <x:v>01_INPUTS!C153:C154</x:v>
      </x:c>
      <x:c r="D45" t="str">
        <x:v>Code / Judgment</x:v>
      </x:c>
      <x:c r="E45" t="str">
        <x:v>NDS Appendix G or engineering mechanics</x:v>
      </x:c>
      <x:c r="F45" t="str">
        <x:v>2024 NDS / structural analysis</x:v>
      </x:c>
      <x:c r="G45" t="str">
        <x:v>Suggest</x:v>
      </x:c>
      <x:c r="H45" t="str">
        <x:v>Engineer</x:v>
      </x:c>
      <x:c r="I45" t="str">
        <x:v>Never silently assume end fixity; preserve rationale.</x:v>
      </x:c>
    </x:row>
    <x:row r="46">
      <x:c r="B46" t="str">
        <x:v>Fc / Emin</x:v>
      </x:c>
      <x:c r="C46" t="str">
        <x:v>01_INPUTS!C155:C156</x:v>
      </x:c>
      <x:c r="D46" t="str">
        <x:v>Code / Table</x:v>
      </x:c>
      <x:c r="E46" t="str">
        <x:v>Lookup after material/product selection</x:v>
      </x:c>
      <x:c r="F46" t="str">
        <x:v>2024 NDS Supplement / manufacturer</x:v>
      </x:c>
      <x:c r="G46" t="str">
        <x:v>Yes</x:v>
      </x:c>
      <x:c r="H46" t="str">
        <x:v>Engineer</x:v>
      </x:c>
      <x:c r="I46" t="str">
        <x:v>Source-controlled design values; no manual final-app entry.</x:v>
      </x:c>
    </x:row>
    <x:row r="47">
      <x:c r="B47" t="str">
        <x:v>Column adjustment factors</x:v>
      </x:c>
      <x:c r="C47" t="str">
        <x:v>01_INPUTS!C157:C165</x:v>
      </x:c>
      <x:c r="D47" t="str">
        <x:v>Code / Table / Judgment</x:v>
      </x:c>
      <x:c r="E47" t="str">
        <x:v>Licensed NDS lookup</x:v>
      </x:c>
      <x:c r="F47" t="str">
        <x:v>2024 NDS</x:v>
      </x:c>
      <x:c r="G47" t="str">
        <x:v>Yes</x:v>
      </x:c>
      <x:c r="H47" t="str">
        <x:v>Engineer</x:v>
      </x:c>
      <x:c r="I47" t="str">
        <x:v>Fc* excludes Cp; Emin′ uses applicable stability factors.</x:v>
      </x:c>
    </x:row>
    <x:row r="48">
      <x:c r="B48" t="str">
        <x:v>Column source / review controls</x:v>
      </x:c>
      <x:c r="C48" t="str">
        <x:v>01_INPUTS!C166:C170</x:v>
      </x:c>
      <x:c r="D48" t="str">
        <x:v>Record / Judgment</x:v>
      </x:c>
      <x:c r="E48" t="str">
        <x:v>Source records + explicit engineering review</x:v>
      </x:c>
      <x:c r="F48" t="str">
        <x:v>Project QA / 2024 NDS</x:v>
      </x:c>
      <x:c r="G48" t="str">
        <x:v>Conditional</x:v>
      </x:c>
      <x:c r="H48" t="str">
        <x:v>Engineer</x:v>
      </x:c>
      <x:c r="I48" t="str">
        <x:v>Combined bending YES blocks clean PASS until interaction module is added.</x:v>
      </x:c>
    </x:row>
    <x:row r="50">
      <x:c r="B50" s="408" t="str">
        <x:v>Shear wall identity / method</x:v>
      </x:c>
      <x:c r="C50" s="408" t="str">
        <x:v>01_INPUTS!C173:C176</x:v>
      </x:c>
      <x:c r="D50" s="408" t="str">
        <x:v>Project / Configuration</x:v>
      </x:c>
      <x:c r="E50" s="408" t="str">
        <x:v>Plans + designer selection</x:v>
      </x:c>
      <x:c r="F50" s="408" t="str">
        <x:v>Project drawings / 2021 SDPWS</x:v>
      </x:c>
      <x:c r="G50" s="408" t="str">
        <x:v>Yes</x:v>
      </x:c>
      <x:c r="H50" s="408" t="str">
        <x:v>Engineer</x:v>
      </x:c>
      <x:c r="I50" s="408" t="str">
        <x:v>Wall mark, load type, design method, and sheathing system.</x:v>
      </x:c>
    </x:row>
    <x:row r="51">
      <x:c r="B51" s="408" t="str">
        <x:v>Shear wall geometry / demand</x:v>
      </x:c>
      <x:c r="C51" s="408" t="str">
        <x:v>01_INPUTS!C177:C180</x:v>
      </x:c>
      <x:c r="D51" s="408" t="str">
        <x:v>Project / Calculation</x:v>
      </x:c>
      <x:c r="E51" s="408" t="str">
        <x:v>Lateral analysis + wall elevations</x:v>
      </x:c>
      <x:c r="F51" s="408" t="str">
        <x:v>ASCE 7 / project model</x:v>
      </x:c>
      <x:c r="G51" s="408" t="str">
        <x:v>Yes</x:v>
      </x:c>
      <x:c r="H51" s="408" t="str">
        <x:v>Engineer</x:v>
      </x:c>
      <x:c r="I51" s="408" t="str">
        <x:v>Demand and effective lengths must remain traceable to load path.</x:v>
      </x:c>
    </x:row>
    <x:row r="52">
      <x:c r="B52" s="408" t="str">
        <x:v>Shear wall vn / Ga</x:v>
      </x:c>
      <x:c r="C52" s="408" t="str">
        <x:v>01_INPUTS!C181:C182</x:v>
      </x:c>
      <x:c r="D52" s="408" t="str">
        <x:v>Code / Table / Product</x:v>
      </x:c>
      <x:c r="E52" s="408" t="str">
        <x:v>Licensed SDPWS lookup or approved ESR/manufacturer</x:v>
      </x:c>
      <x:c r="F52" s="408" t="str">
        <x:v>SRC-23 / product report</x:v>
      </x:c>
      <x:c r="G52" s="408" t="str">
        <x:v>No silent default</x:v>
      </x:c>
      <x:c r="H52" s="408" t="str">
        <x:v>Engineer</x:v>
      </x:c>
      <x:c r="I52" s="408" t="str">
        <x:v>Workbook intentionally does not copy proprietary assembly tables.</x:v>
      </x:c>
    </x:row>
    <x:row r="53">
      <x:c r="B53" s="408" t="str">
        <x:v>Shear wall post / anchorage stiffness</x:v>
      </x:c>
      <x:c r="C53" s="408" t="str">
        <x:v>01_INPUTS!C183:C185</x:v>
      </x:c>
      <x:c r="D53" s="408" t="str">
        <x:v>Material / Hardware</x:v>
      </x:c>
      <x:c r="E53" s="408" t="str">
        <x:v>NDS values + hardware deformation data</x:v>
      </x:c>
      <x:c r="F53" s="408" t="str">
        <x:v>NDS / manufacturer</x:v>
      </x:c>
      <x:c r="G53" s="408" t="str">
        <x:v>Yes</x:v>
      </x:c>
      <x:c r="H53" s="408" t="str">
        <x:v>Engineer</x:v>
      </x:c>
      <x:c r="I53" s="408" t="str">
        <x:v>Used only for SDPWS deflection terms.</x:v>
      </x:c>
    </x:row>
    <x:row r="54">
      <x:c r="B54" s="408" t="str">
        <x:v>Shear wall adjustments / limits</x:v>
      </x:c>
      <x:c r="C54" s="408" t="str">
        <x:v>01_INPUTS!C186:C190</x:v>
      </x:c>
      <x:c r="D54" s="408" t="str">
        <x:v>Code / Judgment / Record</x:v>
      </x:c>
      <x:c r="E54" s="408" t="str">
        <x:v>Licensed standard + project criteria</x:v>
      </x:c>
      <x:c r="F54" s="408" t="str">
        <x:v>SRC-23 / project QA</x:v>
      </x:c>
      <x:c r="G54" s="408" t="str">
        <x:v>Conditional</x:v>
      </x:c>
      <x:c r="H54" s="408" t="str">
        <x:v>Engineer</x:v>
      </x:c>
      <x:c r="I54" s="408" t="str">
        <x:v>Cother captures controlled factors not yet automated; review notes gate publication.</x:v>
      </x:c>
    </x:row>
    <x:row r="55">
      <x:c r="B55" s="408" t="str">
        <x:v>Diaphragm identity / configuration</x:v>
      </x:c>
      <x:c r="C55" s="408" t="str">
        <x:v>01_INPUTS!C193:C195</x:v>
      </x:c>
      <x:c r="D55" s="408" t="str">
        <x:v>Project / Configuration</x:v>
      </x:c>
      <x:c r="E55" s="408" t="str">
        <x:v>Plans + analysis model</x:v>
      </x:c>
      <x:c r="F55" s="408" t="str">
        <x:v>Project drawings / SDPWS</x:v>
      </x:c>
      <x:c r="G55" s="408" t="str">
        <x:v>Yes</x:v>
      </x:c>
      <x:c r="H55" s="408" t="str">
        <x:v>Engineer</x:v>
      </x:c>
      <x:c r="I55" s="408" t="str">
        <x:v>Support/loading configuration selects the SDPWS deflection form.</x:v>
      </x:c>
    </x:row>
    <x:row r="56">
      <x:c r="B56" s="408" t="str">
        <x:v>Diaphragm demand / geometry</x:v>
      </x:c>
      <x:c r="C56" s="408" t="str">
        <x:v>01_INPUTS!C196:C198</x:v>
      </x:c>
      <x:c r="D56" s="408" t="str">
        <x:v>Project / Calculation</x:v>
      </x:c>
      <x:c r="E56" s="408" t="str">
        <x:v>Lateral analysis + plan geometry</x:v>
      </x:c>
      <x:c r="F56" s="408" t="str">
        <x:v>ASCE 7 / project model</x:v>
      </x:c>
      <x:c r="G56" s="408" t="str">
        <x:v>Yes</x:v>
      </x:c>
      <x:c r="H56" s="408" t="str">
        <x:v>Engineer</x:v>
      </x:c>
      <x:c r="I56" s="408" t="str">
        <x:v>Induced unit shear should come from the governing lateral analysis.</x:v>
      </x:c>
    </x:row>
    <x:row r="57">
      <x:c r="B57" s="408" t="str">
        <x:v>Diaphragm vn / Ga / chord</x:v>
      </x:c>
      <x:c r="C57" s="408" t="str">
        <x:v>01_INPUTS!C199:C203</x:v>
      </x:c>
      <x:c r="D57" s="408" t="str">
        <x:v>Code / Table / Material</x:v>
      </x:c>
      <x:c r="E57" s="408" t="str">
        <x:v>Licensed SDPWS + NDS/manufacturer</x:v>
      </x:c>
      <x:c r="F57" s="408" t="str">
        <x:v>SRC-23 / NDS / product report</x:v>
      </x:c>
      <x:c r="G57" s="408" t="str">
        <x:v>No silent default</x:v>
      </x:c>
      <x:c r="H57" s="408" t="str">
        <x:v>Engineer</x:v>
      </x:c>
      <x:c r="I57" s="408" t="str">
        <x:v>Capacity, stiffness, chord modulus/area, and splice-slip term remain traceable.</x:v>
      </x:c>
    </x:row>
    <x:row r="58">
      <x:c r="B58" s="408" t="str">
        <x:v>Diaphragm limits / source records</x:v>
      </x:c>
      <x:c r="C58" s="408" t="str">
        <x:v>01_INPUTS!C204:C209</x:v>
      </x:c>
      <x:c r="D58" s="408" t="str">
        <x:v>Code / Judgment / Record</x:v>
      </x:c>
      <x:c r="E58" s="408" t="str">
        <x:v>Licensed standard + project criteria</x:v>
      </x:c>
      <x:c r="F58" s="408" t="str">
        <x:v>SRC-23 / project QA</x:v>
      </x:c>
      <x:c r="G58" s="408" t="str">
        <x:v>Conditional</x:v>
      </x:c>
      <x:c r="H58" s="408" t="str">
        <x:v>Engineer</x:v>
      </x:c>
      <x:c r="I58" s="408" t="str">
        <x:v>Aspect ratio and permissible deflection are source-controlled; collectors/openings remain review gates.</x:v>
      </x:c>
    </x:row>
    <x:row r="59">
      <x:c r="B59" s="408" t="str">
        <x:v>Connection identity / mode</x:v>
      </x:c>
      <x:c r="C59" s="408" t="str">
        <x:v>01_INPUTS!C212:C216</x:v>
      </x:c>
      <x:c r="D59" s="408" t="str">
        <x:v>Project / Configuration</x:v>
      </x:c>
      <x:c r="E59" s="408" t="str">
        <x:v>Plans + connection definition</x:v>
      </x:c>
      <x:c r="F59" s="408" t="str">
        <x:v>Project drawings / 2024 NDS</x:v>
      </x:c>
      <x:c r="G59" s="408" t="str">
        <x:v>Yes</x:v>
      </x:c>
      <x:c r="H59" s="408" t="str">
        <x:v>Engineer</x:v>
      </x:c>
      <x:c r="I59" s="408" t="str">
        <x:v>Controls material pair, fastener type, and load mode.</x:v>
      </x:c>
    </x:row>
    <x:row r="60">
      <x:c r="B60" s="408" t="str">
        <x:v>Connection demands</x:v>
      </x:c>
      <x:c r="C60" s="408" t="str">
        <x:v>01_INPUTS!C217:C218</x:v>
      </x:c>
      <x:c r="D60" s="408" t="str">
        <x:v>Project / Calculation</x:v>
      </x:c>
      <x:c r="E60" s="408" t="str">
        <x:v>Load path / member reactions</x:v>
      </x:c>
      <x:c r="F60" s="408" t="str">
        <x:v>Project structural analysis</x:v>
      </x:c>
      <x:c r="G60" s="408" t="str">
        <x:v>Yes</x:v>
      </x:c>
      <x:c r="H60" s="408" t="str">
        <x:v>Engineer</x:v>
      </x:c>
      <x:c r="I60" s="408" t="str">
        <x:v>ASD connection actions must remain traceable to governing combination.</x:v>
      </x:c>
    </x:row>
    <x:row r="61">
      <x:c r="B61" s="408" t="str">
        <x:v>Fastener group geometry</x:v>
      </x:c>
      <x:c r="C61" s="408" t="str">
        <x:v>01_INPUTS!C219:C225</x:v>
      </x:c>
      <x:c r="D61" s="408" t="str">
        <x:v>Project / Material</x:v>
      </x:c>
      <x:c r="E61" s="408" t="str">
        <x:v>Plans + material properties</x:v>
      </x:c>
      <x:c r="F61" s="408" t="str">
        <x:v>2024 NDS / project details</x:v>
      </x:c>
      <x:c r="G61" s="408" t="str">
        <x:v>Yes</x:v>
      </x:c>
      <x:c r="H61" s="408" t="str">
        <x:v>Engineer</x:v>
      </x:c>
      <x:c r="I61" s="408" t="str">
        <x:v>Used in public NDS group-action factor implementation.</x:v>
      </x:c>
    </x:row>
    <x:row r="62">
      <x:c r="B62" s="408" t="str">
        <x:v>Single-fastener capacities</x:v>
      </x:c>
      <x:c r="C62" s="408" t="str">
        <x:v>01_INPUTS!C226:C228</x:v>
      </x:c>
      <x:c r="D62" s="408" t="str">
        <x:v>Code / Calculation / Product</x:v>
      </x:c>
      <x:c r="E62" s="408" t="str">
        <x:v>AWC 2024 NDS Connection Calculator or approved source</x:v>
      </x:c>
      <x:c r="F62" s="408" t="str">
        <x:v>SRC-28 / product report</x:v>
      </x:c>
      <x:c r="G62" s="408" t="str">
        <x:v>No silent default</x:v>
      </x:c>
      <x:c r="H62" s="408" t="str">
        <x:v>Engineer</x:v>
      </x:c>
      <x:c r="I62" s="408" t="str">
        <x:v>Store exact calculator/product result and input record.</x:v>
      </x:c>
    </x:row>
    <x:row r="63">
      <x:c r="B63" s="408" t="str">
        <x:v>Connection factors / source / review</x:v>
      </x:c>
      <x:c r="C63" s="408" t="str">
        <x:v>01_INPUTS!C229:C231</x:v>
      </x:c>
      <x:c r="D63" s="408" t="str">
        <x:v>Code / Record / Judgment</x:v>
      </x:c>
      <x:c r="E63" s="408" t="str">
        <x:v>Current NDS + source record</x:v>
      </x:c>
      <x:c r="F63" s="408" t="str">
        <x:v>SRC-30 / project QA</x:v>
      </x:c>
      <x:c r="G63" s="408" t="str">
        <x:v>Conditional</x:v>
      </x:c>
      <x:c r="H63" s="408" t="str">
        <x:v>Engineer</x:v>
      </x:c>
      <x:c r="I63" s="408" t="str">
        <x:v>Geometry/applicability and combined loading remain explicit gates.</x:v>
      </x:c>
    </x:row>
    <x:row r="64">
      <x:c r="B64" s="408" t="str">
        <x:v>Holdown product/demand</x:v>
      </x:c>
      <x:c r="C64" s="408" t="str">
        <x:v>01_INPUTS!C235:C240</x:v>
      </x:c>
      <x:c r="D64" s="408" t="str">
        <x:v>Project / Product</x:v>
      </x:c>
      <x:c r="E64" s="408" t="str">
        <x:v>Wall load path + product report</x:v>
      </x:c>
      <x:c r="F64" s="408" t="str">
        <x:v>Product ESR/catalog</x:v>
      </x:c>
      <x:c r="G64" s="408" t="str">
        <x:v>Yes</x:v>
      </x:c>
      <x:c r="H64" s="408" t="str">
        <x:v>Engineer</x:v>
      </x:c>
      <x:c r="I64" s="408" t="str">
        <x:v>Capacity and published deformation stay product-specific.</x:v>
      </x:c>
    </x:row>
    <x:row r="65">
      <x:c r="B65" s="408" t="str">
        <x:v>Holdown rod/post inputs</x:v>
      </x:c>
      <x:c r="C65" s="408" t="str">
        <x:v>01_INPUTS!C241:C249</x:v>
      </x:c>
      <x:c r="D65" s="408" t="str">
        <x:v>Geometry / Material / Record</x:v>
      </x:c>
      <x:c r="E65" s="408" t="str">
        <x:v>Project geometry + NDS/member + product source</x:v>
      </x:c>
      <x:c r="F65" s="408" t="str">
        <x:v>SRC-32 / NDS / product</x:v>
      </x:c>
      <x:c r="G65" s="408" t="str">
        <x:v>Conditional</x:v>
      </x:c>
      <x:c r="H65" s="408" t="str">
        <x:v>Engineer</x:v>
      </x:c>
      <x:c r="I65" s="408" t="str">
        <x:v>Additional rod elongation is mechanics-only; anchor/concrete design remains separate.</x:v>
      </x:c>
    </x:row>
    <x:row r="66">
      <x:c r="B66" s="408" t="str">
        <x:v>Sill/anchor demand and geometry</x:v>
      </x:c>
      <x:c r="C66" s="408" t="str">
        <x:v>01_INPUTS!C252:C257</x:v>
      </x:c>
      <x:c r="D66" s="408" t="str">
        <x:v>Project / Calculation</x:v>
      </x:c>
      <x:c r="E66" s="408" t="str">
        <x:v>Wall load path + plan geometry</x:v>
      </x:c>
      <x:c r="F66" s="408" t="str">
        <x:v>Project model</x:v>
      </x:c>
      <x:c r="G66" s="408" t="str">
        <x:v>Yes</x:v>
      </x:c>
      <x:c r="H66" s="408" t="str">
        <x:v>Engineer</x:v>
      </x:c>
      <x:c r="I66" s="408" t="str">
        <x:v>Anchor-line force distribution screen.</x:v>
      </x:c>
    </x:row>
    <x:row r="67">
      <x:c r="B67" s="408" t="str">
        <x:v>Single-anchor capacities / spacing</x:v>
      </x:c>
      <x:c r="C67" s="408" t="str">
        <x:v>01_INPUTS!C258:C262</x:v>
      </x:c>
      <x:c r="D67" s="408" t="str">
        <x:v>Code / Product / Design</x:v>
      </x:c>
      <x:c r="E67" s="408" t="str">
        <x:v>ACI/ESR/engineered anchor design</x:v>
      </x:c>
      <x:c r="F67" s="408" t="str">
        <x:v>Project anchor source</x:v>
      </x:c>
      <x:c r="G67" s="408" t="str">
        <x:v>No silent default</x:v>
      </x:c>
      <x:c r="H67" s="408" t="str">
        <x:v>Engineer</x:v>
      </x:c>
      <x:c r="I67" s="408" t="str">
        <x:v>Workbook does not derive concrete failure-mode capacity.</x:v>
      </x:c>
    </x:row>
    <x:row r="68">
      <x:c r="B68" s="408" t="str">
        <x:v>Anchor source / reviews</x:v>
      </x:c>
      <x:c r="C68" s="408" t="str">
        <x:v>01_INPUTS!C263:C266</x:v>
      </x:c>
      <x:c r="D68" s="408" t="str">
        <x:v>Record / Judgment</x:v>
      </x:c>
      <x:c r="E68" s="408" t="str">
        <x:v>Anchor design + explicit geometry review</x:v>
      </x:c>
      <x:c r="F68" s="408" t="str">
        <x:v>Project QA</x:v>
      </x:c>
      <x:c r="G68" s="408" t="str">
        <x:v>No</x:v>
      </x:c>
      <x:c r="H68" s="408" t="str">
        <x:v>Engineer</x:v>
      </x:c>
      <x:c r="I68" s="408" t="str">
        <x:v>Concrete failure modes and edge/end distance must be reviewed.</x:v>
      </x:c>
    </x:row>
    <x:row r="69">
      <x:c r="B69" s="408" t="str">
        <x:v>Collector/chord identity + demand</x:v>
      </x:c>
      <x:c r="C69" s="408" t="str">
        <x:v>01_INPUTS!C268:C272</x:v>
      </x:c>
      <x:c r="D69" s="408" t="str">
        <x:v>Project / Calculation</x:v>
      </x:c>
      <x:c r="E69" s="408" t="str">
        <x:v>Lateral analysis</x:v>
      </x:c>
      <x:c r="F69" s="408" t="str">
        <x:v>ASCE 7 / project model</x:v>
      </x:c>
      <x:c r="G69" s="408" t="str">
        <x:v>Yes</x:v>
      </x:c>
      <x:c r="H69" s="408" t="str">
        <x:v>Engineer</x:v>
      </x:c>
      <x:c r="I69" s="408" t="str">
        <x:v>Forces must remain traceable through diaphragm/wall load path.</x:v>
      </x:c>
    </x:row>
    <x:row r="70">
      <x:c r="B70" s="408" t="str">
        <x:v>Collector member/connection capacities</x:v>
      </x:c>
      <x:c r="C70" s="408" t="str">
        <x:v>01_INPUTS!C271:C275</x:v>
      </x:c>
      <x:c r="D70" s="408" t="str">
        <x:v>Code / Calculation / Record</x:v>
      </x:c>
      <x:c r="E70" s="408" t="str">
        <x:v>NDS member + connection calc</x:v>
      </x:c>
      <x:c r="F70" s="408" t="str">
        <x:v>NDS / 28_CONNECTIONS</x:v>
      </x:c>
      <x:c r="G70" s="408" t="str">
        <x:v>No silent default</x:v>
      </x:c>
      <x:c r="H70" s="408" t="str">
        <x:v>Engineer</x:v>
      </x:c>
      <x:c r="I70" s="408" t="str">
        <x:v>Reconcile member and splice/connection capacity.</x:v>
      </x:c>
    </x:row>
    <x:row r="71">
      <x:c r="B71" s="408" t="str">
        <x:v>Collector review</x:v>
      </x:c>
      <x:c r="C71" s="408" t="str">
        <x:v>01_INPUTS!C276</x:v>
      </x:c>
      <x:c r="D71" s="408" t="str">
        <x:v>Engineer Judgment</x:v>
      </x:c>
      <x:c r="E71" s="408" t="str">
        <x:v>Detail/load-path review</x:v>
      </x:c>
      <x:c r="F71" s="408" t="str">
        <x:v>Project QA</x:v>
      </x:c>
      <x:c r="G71" s="408" t="str">
        <x:v>No</x:v>
      </x:c>
      <x:c r="H71" s="408" t="str">
        <x:v>Engineer</x:v>
      </x:c>
      <x:c r="I71" s="408" t="str">
        <x:v>Eccentricity, blocking, discontinuities, net section, and transfer detailing.</x:v>
      </x:c>
    </x:row>
    <x:row r="72">
      <x:c r="B72" s="408" t="str">
        <x:v>Smart project setup</x:v>
      </x:c>
      <x:c r="C72" s="408" t="str">
        <x:v>00_COVER!C7:C12,F7:F16</x:v>
      </x:c>
      <x:c r="D72" s="408" t="str">
        <x:v>Human Decision</x:v>
      </x:c>
      <x:c r="E72" s="408" t="str">
        <x:v>User / project lead</x:v>
      </x:c>
      <x:c r="F72" s="408" t="str">
        <x:v>Project setup</x:v>
      </x:c>
      <x:c r="G72" s="408" t="str">
        <x:v>Yes</x:v>
      </x:c>
      <x:c r="H72" s="408" t="str">
        <x:v>User/Engineer</x:v>
      </x:c>
      <x:c r="I72" s="408" t="str">
        <x:v>Only genuine project decisions belong on the start page.</x:v>
      </x:c>
    </x:row>
    <x:row r="73">
      <x:c r="B73" s="408" t="str">
        <x:v>CAD confirmation queue</x:v>
      </x:c>
      <x:c r="C73" s="408" t="str">
        <x:v>00_CAD_CONFIRM!B6:L24</x:v>
      </x:c>
      <x:c r="D73" s="408" t="str">
        <x:v>CAD / Confirmation</x:v>
      </x:c>
      <x:c r="E73" s="408" t="str">
        <x:v>DWG/DXF/model extraction + human confirmation</x:v>
      </x:c>
      <x:c r="F73" s="408" t="str">
        <x:v>AutoCAD/object model</x:v>
      </x:c>
      <x:c r="G73" s="408" t="str">
        <x:v>Yes</x:v>
      </x:c>
      <x:c r="H73" s="408" t="str">
        <x:v>Drafter/Engineer</x:v>
      </x:c>
      <x:c r="I73" s="408" t="str">
        <x:v>Detected values never become calculation inputs without confirmation.</x:v>
      </x:c>
    </x:row>
    <x:row r="74">
      <x:c r="B74" s="408" t="str">
        <x:v>Semantic object registry</x:v>
      </x:c>
      <x:c r="C74" s="408" t="str">
        <x:v>00_OBJECT_MODEL!B6:R34</x:v>
      </x:c>
      <x:c r="D74" s="408" t="str">
        <x:v>Object Model</x:v>
      </x:c>
      <x:c r="E74" s="408" t="str">
        <x:v>CAD/model + project semantics</x:v>
      </x:c>
      <x:c r="F74" s="408" t="str">
        <x:v>Project model</x:v>
      </x:c>
      <x:c r="G74" s="408" t="str">
        <x:v>Yes</x:v>
      </x:c>
      <x:c r="H74" s="408" t="str">
        <x:v>Project team</x:v>
      </x:c>
      <x:c r="I74" s="408" t="str">
        <x:v>Permanent object ID + human tag + geometry + functional state + CAD representations.</x:v>
      </x:c>
    </x:row>
    <x:row r="75">
      <x:c r="B75" s="408" t="str">
        <x:v>Change-impact register</x:v>
      </x:c>
      <x:c r="C75" s="408" t="str">
        <x:v>00_CHANGE_IMPACT!B6:Q26</x:v>
      </x:c>
      <x:c r="D75" s="408" t="str">
        <x:v>Revision Control</x:v>
      </x:c>
      <x:c r="E75" s="408" t="str">
        <x:v>Dependency graph + approvals</x:v>
      </x:c>
      <x:c r="F75" s="408" t="str">
        <x:v>Project model / CAD</x:v>
      </x:c>
      <x:c r="G75" s="408" t="str">
        <x:v>Yes</x:v>
      </x:c>
      <x:c r="H75" s="408" t="str">
        <x:v>Engineer/Drafter</x:v>
      </x:c>
      <x:c r="I75" s="408" t="str">
        <x:v>No silent write-back; change impact set is reviewed first.</x:v>
      </x:c>
    </x:row>
    <x:row r="76">
      <x:c r="B76" s="408" t="str">
        <x:v>Foundation geometry/demand</x:v>
      </x:c>
      <x:c r="C76" s="408" t="str">
        <x:v>01_INPUTS!C279:C288</x:v>
      </x:c>
      <x:c r="D76" s="408" t="str">
        <x:v>Object / Calculation</x:v>
      </x:c>
      <x:c r="E76" s="408" t="str">
        <x:v>CAD object model + load path</x:v>
      </x:c>
      <x:c r="F76" s="408" t="str">
        <x:v>36_FOUNDATION</x:v>
      </x:c>
      <x:c r="G76" s="408" t="str">
        <x:v>Yes</x:v>
      </x:c>
      <x:c r="H76" s="408" t="str">
        <x:v>Engineer</x:v>
      </x:c>
      <x:c r="I76" s="408" t="str">
        <x:v>Normally populated by object model, not typed manually.</x:v>
      </x:c>
    </x:row>
    <x:row r="77">
      <x:c r="B77" s="408" t="str">
        <x:v>Foundation material/geotech</x:v>
      </x:c>
      <x:c r="C77" s="408" t="str">
        <x:v>01_INPUTS!C289:C294</x:v>
      </x:c>
      <x:c r="D77" s="408" t="str">
        <x:v>Source / Geotechnical</x:v>
      </x:c>
      <x:c r="E77" s="408" t="str">
        <x:v>Geotechnical report / CBC basis</x:v>
      </x:c>
      <x:c r="F77" s="408" t="str">
        <x:v>SRC-34 / project geotech</x:v>
      </x:c>
      <x:c r="G77" s="408" t="str">
        <x:v>No silent default</x:v>
      </x:c>
      <x:c r="H77" s="408" t="str">
        <x:v>Engineer</x:v>
      </x:c>
      <x:c r="I77" s="408" t="str">
        <x:v>Do not infer bearing/friction from seismic Site Class.</x:v>
      </x:c>
    </x:row>
    <x:row r="78">
      <x:c r="B78" s="408" t="str">
        <x:v>Foundation concrete inputs</x:v>
      </x:c>
      <x:c r="C78" s="408" t="str">
        <x:v>01_INPUTS!C295:C299</x:v>
      </x:c>
      <x:c r="D78" s="408" t="str">
        <x:v>Code / Record</x:v>
      </x:c>
      <x:c r="E78" s="408" t="str">
        <x:v>Concrete design record</x:v>
      </x:c>
      <x:c r="F78" s="408" t="str">
        <x:v>SRC-36 / project calc</x:v>
      </x:c>
      <x:c r="G78" s="408" t="str">
        <x:v>No silent default</x:v>
      </x:c>
      <x:c r="H78" s="408" t="str">
        <x:v>Engineer</x:v>
      </x:c>
      <x:c r="I78" s="408" t="str">
        <x:v>Concrete strength/detailing remains traceable to adopted code calculation.</x:v>
      </x:c>
    </x:row>
    <x:row r="79">
      <x:c r="B79" s="408" t="str">
        <x:v>Foundation review</x:v>
      </x:c>
      <x:c r="C79" s="408" t="str">
        <x:v>01_INPUTS!C300</x:v>
      </x:c>
      <x:c r="D79" s="408" t="str">
        <x:v>Engineer Judgment</x:v>
      </x:c>
      <x:c r="E79" s="408" t="str">
        <x:v>Project review</x:v>
      </x:c>
      <x:c r="F79" s="408" t="str">
        <x:v>Project QA</x:v>
      </x:c>
      <x:c r="G79" s="408" t="str">
        <x:v>No</x:v>
      </x:c>
      <x:c r="H79" s="408" t="str">
        <x:v>Engineer</x:v>
      </x:c>
      <x:c r="I79" s="408" t="str">
        <x:v>Settlement, groundwater, expansive soil, anchorage, seismic and special conditions.</x:v>
      </x:c>
    </x:row>
    <x:row r="80">
      <x:c r="B80" s="408" t="str">
        <x:v>Issue gate</x:v>
      </x:c>
      <x:c r="C80" s="408" t="str">
        <x:v>00_ISSUE_GATE!B6:H24</x:v>
      </x:c>
      <x:c r="D80" s="408" t="str">
        <x:v>QA / Approval</x:v>
      </x:c>
      <x:c r="E80" s="408" t="str">
        <x:v>All module states + drawing sync + approvals</x:v>
      </x:c>
      <x:c r="F80" s="408" t="str">
        <x:v>Project QA</x:v>
      </x:c>
      <x:c r="G80" s="408" t="str">
        <x:v>No</x:v>
      </x:c>
      <x:c r="H80" s="408" t="str">
        <x:v>Engineer</x:v>
      </x:c>
      <x:c r="I80" s="408" t="str">
        <x:v>Final workbook/app issue-control concept.</x:v>
      </x:c>
    </x:row>
    <x:row r="81">
      <x:c r="B81" s="408" t="str">
        <x:v>Backend store</x:v>
      </x:c>
      <x:c r="C81" s="408" t="str">
        <x:v>01_INPUTS</x:v>
      </x:c>
      <x:c r="D81" s="408" t="str">
        <x:v>Engine Data</x:v>
      </x:c>
      <x:c r="E81" s="408" t="str">
        <x:v>Setup/CAD/API/code/product libraries</x:v>
      </x:c>
      <x:c r="F81" s="408" t="str">
        <x:v>Internal schema</x:v>
      </x:c>
      <x:c r="G81" s="408" t="str">
        <x:v>Controlled</x:v>
      </x:c>
      <x:c r="H81" s="408" t="str">
        <x:v>Engine</x:v>
      </x:c>
      <x:c r="I81" s="408" t="str">
        <x:v>Retained as transparent calculation schema; no longer intended as the human input page.</x:v>
      </x:c>
    </x:row>
    <x:row r="82">
      <x:c r="B82" s="408" t="str">
        <x:v>Design output principle</x:v>
      </x:c>
      <x:c r="C82" s="408" t="str">
        <x:v>11_CAD_OUTPUT / 12_CAD_MAP</x:v>
      </x:c>
      <x:c r="D82" s="408" t="str">
        <x:v>Generated Output</x:v>
      </x:c>
      <x:c r="E82" s="408" t="str">
        <x:v>Verified project model</x:v>
      </x:c>
      <x:c r="F82" s="408" t="str">
        <x:v>CAD/API</x:v>
      </x:c>
      <x:c r="G82" s="408" t="str">
        <x:v>Conditional</x:v>
      </x:c>
      <x:c r="H82" s="408" t="str">
        <x:v>Drafter/Engineer</x:v>
      </x:c>
      <x:c r="I82" s="408" t="str">
        <x:v>Drawings are synchronized representations of approved, verified objects.</x:v>
      </x:c>
    </x:row>
  </x:sheetData>
  <x:mergeCells>
    <x:mergeCell ref="B2:I2"/>
  </x:mergeCells>
  <x:pageMargins left="0.7" right="0.7" top="0.75" bottom="0.75" header="0.3" footer="0.3"/>
</x:worksheet>
</file>

<file path=xl/worksheets/sheet13.xml><?xml version="1.0" encoding="utf-8"?>
<x:worksheet xmlns:x="http://schemas.openxmlformats.org/spreadsheetml/2006/main">
  <x:sheetFormatPr defaultRowHeight="15"/>
  <x:cols>
    <x:col min="2" max="2" width="12" hidden="0" customWidth="1"/>
    <x:col min="3" max="3" width="15" hidden="0" customWidth="1"/>
    <x:col min="4" max="4" width="24" hidden="0" customWidth="1"/>
    <x:col min="5" max="5" width="32" hidden="0" customWidth="1"/>
    <x:col min="6" max="6" width="22" hidden="0" customWidth="1"/>
    <x:col min="7" max="7" width="30" hidden="0" customWidth="1"/>
    <x:col min="8" max="8" width="20" hidden="0" customWidth="1"/>
    <x:col min="9" max="9" width="28" hidden="0" customWidth="1"/>
    <x:col min="10" max="10" width="12" hidden="0" customWidth="1"/>
    <x:col min="11" max="11" width="14" hidden="0" customWidth="1"/>
  </x:cols>
  <x:sheetData>
    <x:row r="2">
      <x:c r="B2" s="134" t="str">
        <x:v>CALCULATION TRACEABILITY REGISTER</x:v>
      </x:c>
      <x:c r="C2" s="134"/>
      <x:c r="D2" s="134"/>
      <x:c r="E2" s="134"/>
      <x:c r="F2" s="134"/>
      <x:c r="G2" s="134"/>
      <x:c r="H2" s="134"/>
      <x:c r="I2" s="134"/>
      <x:c r="J2" s="134"/>
      <x:c r="K2" s="134"/>
    </x:row>
    <x:row r="4">
      <x:c r="B4" s="141" t="str">
        <x:v>Calc ID</x:v>
      </x:c>
      <x:c r="C4" s="141" t="str">
        <x:v>Module</x:v>
      </x:c>
      <x:c r="D4" s="141" t="str">
        <x:v>Output</x:v>
      </x:c>
      <x:c r="E4" s="141" t="str">
        <x:v>Primary Equation / Method</x:v>
      </x:c>
      <x:c r="F4" s="141" t="str">
        <x:v>Input IDs</x:v>
      </x:c>
      <x:c r="G4" s="141" t="str">
        <x:v>Source / Reference</x:v>
      </x:c>
      <x:c r="H4" s="141" t="str">
        <x:v>Primary Engine</x:v>
      </x:c>
      <x:c r="I4" s="141" t="str">
        <x:v>Independent Check</x:v>
      </x:c>
      <x:c r="J4" s="141" t="str">
        <x:v>Tolerance</x:v>
      </x:c>
      <x:c r="K4" s="141" t="str">
        <x:v>Status</x:v>
      </x:c>
    </x:row>
    <x:row r="5">
      <x:c r="B5" s="142" t="str">
        <x:v>G-001</x:v>
      </x:c>
      <x:c r="C5" s="142" t="str">
        <x:v>Gravity</x:v>
      </x:c>
      <x:c r="D5" s="142" t="str">
        <x:v>Section inertia I</x:v>
      </x:c>
      <x:c r="E5" s="142" t="str">
        <x:v>I = b·d³/12</x:v>
      </x:c>
      <x:c r="F5" s="142" t="str">
        <x:v>b, d</x:v>
      </x:c>
      <x:c r="G5" s="142" t="str">
        <x:v>Classical mechanics / geometry</x:v>
      </x:c>
      <x:c r="H5" s="142" t="str">
        <x:v>Workbook formula</x:v>
      </x:c>
      <x:c r="I5" s="142" t="str">
        <x:v>Independent formula path</x:v>
      </x:c>
      <x:c r="J5" s="142" t="str">
        <x:v>1E-4</x:v>
      </x:c>
      <x:c r="K5" s="142" t="str">
        <x:v>ACTIVE</x:v>
      </x:c>
    </x:row>
    <x:row r="6">
      <x:c r="B6" s="142" t="str">
        <x:v>G-002</x:v>
      </x:c>
      <x:c r="C6" s="142" t="str">
        <x:v>Gravity</x:v>
      </x:c>
      <x:c r="D6" s="142" t="str">
        <x:v>Dead line load wD</x:v>
      </x:c>
      <x:c r="E6" s="142" t="str">
        <x:v>wD = qD·tributary width</x:v>
      </x:c>
      <x:c r="F6" s="142" t="str">
        <x:v>qD, trib</x:v>
      </x:c>
      <x:c r="G6" s="142" t="str">
        <x:v>Load path derivation</x:v>
      </x:c>
      <x:c r="H6" s="142" t="str">
        <x:v>Workbook formula</x:v>
      </x:c>
      <x:c r="I6" s="142" t="str">
        <x:v>Dimensional recomputation</x:v>
      </x:c>
      <x:c r="J6" s="142" t="str">
        <x:v>0.01</x:v>
      </x:c>
      <x:c r="K6" s="142" t="str">
        <x:v>ACTIVE</x:v>
      </x:c>
    </x:row>
    <x:row r="7">
      <x:c r="B7" s="142" t="str">
        <x:v>G-003</x:v>
      </x:c>
      <x:c r="C7" s="142" t="str">
        <x:v>Gravity</x:v>
      </x:c>
      <x:c r="D7" s="142" t="str">
        <x:v>Live line load wL</x:v>
      </x:c>
      <x:c r="E7" s="142" t="str">
        <x:v>wL = qL·tributary width</x:v>
      </x:c>
      <x:c r="F7" s="142" t="str">
        <x:v>qL, trib</x:v>
      </x:c>
      <x:c r="G7" s="142" t="str">
        <x:v>Load path derivation</x:v>
      </x:c>
      <x:c r="H7" s="142" t="str">
        <x:v>Workbook formula</x:v>
      </x:c>
      <x:c r="I7" s="142" t="str">
        <x:v>Dimensional recomputation</x:v>
      </x:c>
      <x:c r="J7" s="142" t="str">
        <x:v>0.01</x:v>
      </x:c>
      <x:c r="K7" s="142" t="str">
        <x:v>ACTIVE</x:v>
      </x:c>
    </x:row>
    <x:row r="8">
      <x:c r="B8" s="142" t="str">
        <x:v>G-004</x:v>
      </x:c>
      <x:c r="C8" s="142" t="str">
        <x:v>Gravity</x:v>
      </x:c>
      <x:c r="D8" s="142" t="str">
        <x:v>End reaction</x:v>
      </x:c>
      <x:c r="E8" s="142" t="str">
        <x:v>R = wL/2</x:v>
      </x:c>
      <x:c r="F8" s="142" t="str">
        <x:v>w, L</x:v>
      </x:c>
      <x:c r="G8" s="142" t="str">
        <x:v>Classical statics</x:v>
      </x:c>
      <x:c r="H8" s="142" t="str">
        <x:v>Workbook formula</x:v>
      </x:c>
      <x:c r="I8" s="142" t="str">
        <x:v>Total load ÷ 2</x:v>
      </x:c>
      <x:c r="J8" s="142" t="str">
        <x:v>0.01</x:v>
      </x:c>
      <x:c r="K8" s="142" t="str">
        <x:v>ACTIVE</x:v>
      </x:c>
    </x:row>
    <x:row r="9">
      <x:c r="B9" s="142" t="str">
        <x:v>G-005</x:v>
      </x:c>
      <x:c r="C9" s="142" t="str">
        <x:v>Gravity</x:v>
      </x:c>
      <x:c r="D9" s="142" t="str">
        <x:v>Maximum moment</x:v>
      </x:c>
      <x:c r="E9" s="142" t="str">
        <x:v>Mmax = wL²/8</x:v>
      </x:c>
      <x:c r="F9" s="142" t="str">
        <x:v>w, L</x:v>
      </x:c>
      <x:c r="G9" s="142" t="str">
        <x:v>Classical statics</x:v>
      </x:c>
      <x:c r="H9" s="142" t="str">
        <x:v>Workbook formula</x:v>
      </x:c>
      <x:c r="I9" s="142" t="str">
        <x:v>Reaction-section equilibrium</x:v>
      </x:c>
      <x:c r="J9" s="142" t="str">
        <x:v>0.01</x:v>
      </x:c>
      <x:c r="K9" s="142" t="str">
        <x:v>ACTIVE</x:v>
      </x:c>
    </x:row>
    <x:row r="10">
      <x:c r="B10" s="142" t="str">
        <x:v>G-006</x:v>
      </x:c>
      <x:c r="C10" s="142" t="str">
        <x:v>Gravity</x:v>
      </x:c>
      <x:c r="D10" s="142" t="str">
        <x:v>Maximum deflection</x:v>
      </x:c>
      <x:c r="E10" s="142" t="str">
        <x:v>Δmax = 5wL⁴/(384EI)</x:v>
      </x:c>
      <x:c r="F10" s="142" t="str">
        <x:v>w, L, E, I</x:v>
      </x:c>
      <x:c r="G10" s="142" t="str">
        <x:v>Elastic beam theory</x:v>
      </x:c>
      <x:c r="H10" s="142" t="str">
        <x:v>Workbook formula</x:v>
      </x:c>
      <x:c r="I10" s="142" t="str">
        <x:v>Equivalent total-load form</x:v>
      </x:c>
      <x:c r="J10" s="142" t="str">
        <x:v>0.001</x:v>
      </x:c>
      <x:c r="K10" s="142" t="str">
        <x:v>ACTIVE</x:v>
      </x:c>
    </x:row>
    <x:row r="11">
      <x:c r="B11" s="142" t="str">
        <x:v>G-007</x:v>
      </x:c>
      <x:c r="C11" s="142" t="str">
        <x:v>Gravity</x:v>
      </x:c>
      <x:c r="D11" s="142" t="str">
        <x:v>Span / deflection</x:v>
      </x:c>
      <x:c r="E11" s="142" t="str">
        <x:v>L/Δ</x:v>
      </x:c>
      <x:c r="F11" s="142" t="str">
        <x:v>L, Δ</x:v>
      </x:c>
      <x:c r="G11" s="142" t="str">
        <x:v>Serviceability metric</x:v>
      </x:c>
      <x:c r="H11" s="142" t="str">
        <x:v>Workbook formula</x:v>
      </x:c>
      <x:c r="I11" s="142" t="str">
        <x:v>Direct recomputation</x:v>
      </x:c>
      <x:c r="J11" s="142" t="str">
        <x:v>0.01</x:v>
      </x:c>
      <x:c r="K11" s="142" t="str">
        <x:v>ACTIVE</x:v>
      </x:c>
    </x:row>
    <x:row r="12">
      <x:c r="B12" s="142" t="str">
        <x:v>W-001</x:v>
      </x:c>
      <x:c r="C12" s="142" t="str">
        <x:v>Wind</x:v>
      </x:c>
      <x:c r="D12" s="142" t="str">
        <x:v>Basic wind pressure</x:v>
      </x:c>
      <x:c r="E12" s="142" t="str">
        <x:v>Pending module</x:v>
      </x:c>
      <x:c r="F12" s="142" t="str">
        <x:v>Project + hazard</x:v>
      </x:c>
      <x:c r="G12" s="142" t="str">
        <x:v>ASCE 7-22 exact ref TBD</x:v>
      </x:c>
      <x:c r="H12" s="142" t="str">
        <x:v>Web/app engine</x:v>
      </x:c>
      <x:c r="I12" s="142" t="str">
        <x:v>Independent equation path</x:v>
      </x:c>
      <x:c r="J12" s="142" t="str">
        <x:v>TBD</x:v>
      </x:c>
      <x:c r="K12" s="142" t="str">
        <x:v>PLANNED</x:v>
      </x:c>
    </x:row>
    <x:row r="13">
      <x:c r="B13" s="142" t="str">
        <x:v>S-001</x:v>
      </x:c>
      <x:c r="C13" s="142" t="str">
        <x:v>Seismic</x:v>
      </x:c>
      <x:c r="D13" s="142" t="str">
        <x:v>Hazard parameters</x:v>
      </x:c>
      <x:c r="E13" s="142" t="str">
        <x:v>USGS ASCE7-22 API response</x:v>
      </x:c>
      <x:c r="F13" s="142" t="str">
        <x:v>lat, lon, site class, risk category</x:v>
      </x:c>
      <x:c r="G13" s="142" t="str">
        <x:v>SRC-15 / USGS service</x:v>
      </x:c>
      <x:c r="H13" s="142" t="str">
        <x:v>USGS + workbook</x:v>
      </x:c>
      <x:c r="I13" s="142" t="str">
        <x:v>Raw-response / source record check</x:v>
      </x:c>
      <x:c r="J13" s="142" t="str">
        <x:v>Source match</x:v>
      </x:c>
      <x:c r="K13" s="142" t="str">
        <x:v>ACTIVE</x:v>
      </x:c>
    </x:row>
    <x:row r="14">
      <x:c r="B14" s="142"/>
      <x:c r="C14" s="142"/>
      <x:c r="D14" s="142"/>
      <x:c r="E14" s="142"/>
      <x:c r="F14" s="142"/>
      <x:c r="G14" s="142"/>
      <x:c r="H14" s="142"/>
      <x:c r="I14" s="142"/>
      <x:c r="J14" s="142"/>
      <x:c r="K14" s="142"/>
    </x:row>
    <x:row r="15">
      <x:c r="B15" s="142"/>
      <x:c r="C15" s="142"/>
      <x:c r="D15" s="142"/>
      <x:c r="E15" s="142"/>
      <x:c r="F15" s="142"/>
      <x:c r="G15" s="142"/>
      <x:c r="H15" s="142"/>
      <x:c r="I15" s="142"/>
      <x:c r="J15" s="142"/>
      <x:c r="K15" s="142"/>
    </x:row>
    <x:row r="16">
      <x:c r="B16" s="142" t="str">
        <x:v>LC-002</x:v>
      </x:c>
      <x:c r="C16" s="142" t="str">
        <x:v>Load Comb.</x:v>
      </x:c>
      <x:c r="D16" s="142" t="str">
        <x:v>Project demand</x:v>
      </x:c>
      <x:c r="E16" s="142" t="str">
        <x:v>Σ(coefficient × load effect)</x:v>
      </x:c>
      <x:c r="F16" s="142" t="str">
        <x:v>Verified matrix + module outputs</x:v>
      </x:c>
      <x:c r="G16" s="142" t="str">
        <x:v>ASCE 7-22 §§2.3, 2.4</x:v>
      </x:c>
      <x:c r="H16" s="142" t="str">
        <x:v>SUMPRODUCT engine</x:v>
      </x:c>
      <x:c r="I16" s="142" t="str">
        <x:v>Direct hard-coded equation path</x:v>
      </x:c>
      <x:c r="J16" s="142" t="str">
        <x:v>0.0001</x:v>
      </x:c>
      <x:c r="K16" s="142" t="str">
        <x:v>ACTIVE</x:v>
      </x:c>
    </x:row>
    <x:row r="17">
      <x:c r="B17" s="142" t="str">
        <x:v>LC-003</x:v>
      </x:c>
      <x:c r="C17" s="142" t="str">
        <x:v>Load Comb.</x:v>
      </x:c>
      <x:c r="D17" s="142" t="str">
        <x:v>Longhand trace</x:v>
      </x:c>
      <x:c r="E17" s="142" t="str">
        <x:v>Term-by-term coefficient × effect</x:v>
      </x:c>
      <x:c r="F17" s="142" t="str">
        <x:v>Selected combo</x:v>
      </x:c>
      <x:c r="G17" s="142" t="str">
        <x:v>15_LONGHAND_COMBOS</x:v>
      </x:c>
      <x:c r="H17" s="142" t="str">
        <x:v>Workbook trace</x:v>
      </x:c>
      <x:c r="I17" s="142" t="str">
        <x:v>Matrix engine comparison</x:v>
      </x:c>
      <x:c r="J17" s="142" t="str">
        <x:v>0.0001</x:v>
      </x:c>
      <x:c r="K17" s="142" t="str">
        <x:v>ACTIVE</x:v>
      </x:c>
    </x:row>
    <x:row r="18">
      <x:c r="B18" s="142" t="str">
        <x:v>LC-004</x:v>
      </x:c>
      <x:c r="C18" s="142" t="str">
        <x:v>Load Comb.</x:v>
      </x:c>
      <x:c r="D18" s="142" t="str">
        <x:v>Benchmark suite</x:v>
      </x:c>
      <x:c r="E18" s="142" t="str">
        <x:v>Fixed test vector → expected demands</x:v>
      </x:c>
      <x:c r="F18" s="142" t="str">
        <x:v>Locked QA vector</x:v>
      </x:c>
      <x:c r="G18" s="142" t="str">
        <x:v>Independent arithmetic constants</x:v>
      </x:c>
      <x:c r="H18" s="142" t="str">
        <x:v>Workbook formulas</x:v>
      </x:c>
      <x:c r="I18" s="142" t="str">
        <x:v>External Python arithmetic</x:v>
      </x:c>
      <x:c r="J18" s="142" t="str">
        <x:v>0.0001</x:v>
      </x:c>
      <x:c r="K18" s="142" t="str">
        <x:v>ACTIVE</x:v>
      </x:c>
    </x:row>
    <x:row r="19">
      <x:c r="B19" t="str">
        <x:v>W-001</x:v>
      </x:c>
      <x:c r="C19" t="str">
        <x:v>Wind</x:v>
      </x:c>
      <x:c r="D19" t="str">
        <x:v>Kh</x:v>
      </x:c>
      <x:c r="E19" t="str">
        <x:v>ASCE 7-22 Table 26.10-1 / interpolation</x:v>
      </x:c>
      <x:c r="F19" t="str">
        <x:v>h, Exposure</x:v>
      </x:c>
      <x:c r="G19" t="str">
        <x:v>ASCE 7-22 §26.10</x:v>
      </x:c>
      <x:c r="H19" t="str">
        <x:v>Workbook table/interpolation</x:v>
      </x:c>
      <x:c r="I19" t="str">
        <x:v>Reference table + method gate</x:v>
      </x:c>
      <x:c r="J19" t="str">
        <x:v>0.001</x:v>
      </x:c>
      <x:c r="K19" t="str">
        <x:v>ACTIVE</x:v>
      </x:c>
    </x:row>
    <x:row r="20">
      <x:c r="B20" t="str">
        <x:v>W-002</x:v>
      </x:c>
      <x:c r="C20" t="str">
        <x:v>Wind</x:v>
      </x:c>
      <x:c r="D20" t="str">
        <x:v>Velocity pressure qh</x:v>
      </x:c>
      <x:c r="E20" t="str">
        <x:v>qh = 0.00256·Kh·Kzt·Ke·V²</x:v>
      </x:c>
      <x:c r="F20" t="str">
        <x:v>V,Kh,Kzt,Ke</x:v>
      </x:c>
      <x:c r="G20" t="str">
        <x:v>ASCE 7-22 Eq. 26.10-1</x:v>
      </x:c>
      <x:c r="H20" t="str">
        <x:v>Workbook formula</x:v>
      </x:c>
      <x:c r="I20" t="str">
        <x:v>Bernoulli q0 × modifiers</x:v>
      </x:c>
      <x:c r="J20" t="str">
        <x:v>0.001 psf</x:v>
      </x:c>
      <x:c r="K20" t="str">
        <x:v>ACTIVE</x:v>
      </x:c>
    </x:row>
    <x:row r="21">
      <x:c r="B21" t="str">
        <x:v>W-003</x:v>
      </x:c>
      <x:c r="C21" t="str">
        <x:v>Wind</x:v>
      </x:c>
      <x:c r="D21" t="str">
        <x:v>Internal pressure GCpi</x:v>
      </x:c>
      <x:c r="E21" t="str">
        <x:v>Lookup by enclosure classification</x:v>
      </x:c>
      <x:c r="F21" t="str">
        <x:v>Enclosure</x:v>
      </x:c>
      <x:c r="G21" t="str">
        <x:v>ASCE 7-22 Table 26.13-1</x:v>
      </x:c>
      <x:c r="H21" t="str">
        <x:v>Workbook lookup</x:v>
      </x:c>
      <x:c r="I21" t="str">
        <x:v>Public ASCE table cross-check</x:v>
      </x:c>
      <x:c r="J21" t="str">
        <x:v>Exact</x:v>
      </x:c>
      <x:c r="K21" t="str">
        <x:v>ACTIVE</x:v>
      </x:c>
    </x:row>
    <x:row r="22">
      <x:c r="B22" t="str">
        <x:v>W-004</x:v>
      </x:c>
      <x:c r="C22" t="str">
        <x:v>Wind</x:v>
      </x:c>
      <x:c r="D22" t="str">
        <x:v>MWFRS zone pressure</x:v>
      </x:c>
      <x:c r="E22" t="str">
        <x:v>p = qh·Kd[(GCpf)−(GCpi)]</x:v>
      </x:c>
      <x:c r="F22" t="str">
        <x:v>qh,Kd,GCpf,GCpi</x:v>
      </x:c>
      <x:c r="G22" t="str">
        <x:v>ASCE 7-22 Eq. 28.3-1</x:v>
      </x:c>
      <x:c r="H22" t="str">
        <x:v>Workbook formula</x:v>
      </x:c>
      <x:c r="I22" t="str">
        <x:v>External term − internal term</x:v>
      </x:c>
      <x:c r="J22" t="str">
        <x:v>0.001 psf</x:v>
      </x:c>
      <x:c r="K22" t="str">
        <x:v>ACTIVE</x:v>
      </x:c>
    </x:row>
    <x:row r="23">
      <x:c r="B23" t="str">
        <x:v>W-005</x:v>
      </x:c>
      <x:c r="C23" t="str">
        <x:v>Wind</x:v>
      </x:c>
      <x:c r="D23" t="str">
        <x:v>C&amp;C pressure</x:v>
      </x:c>
      <x:c r="E23" t="str">
        <x:v>p = qh·Kd[(GCp)−(GCpi)]</x:v>
      </x:c>
      <x:c r="F23" t="str">
        <x:v>qh,Kd,GCp,GCpi</x:v>
      </x:c>
      <x:c r="G23" t="str">
        <x:v>ASCE 7-22 Ch. 30</x:v>
      </x:c>
      <x:c r="H23" t="str">
        <x:v>Workbook formula</x:v>
      </x:c>
      <x:c r="I23" t="str">
        <x:v>Separate pressure-term audit</x:v>
      </x:c>
      <x:c r="J23" t="str">
        <x:v>0.001 psf</x:v>
      </x:c>
      <x:c r="K23" t="str">
        <x:v>ACTIVE</x:v>
      </x:c>
    </x:row>
    <x:row r="24">
      <x:c r="B24" t="str">
        <x:v>W-006</x:v>
      </x:c>
      <x:c r="C24" t="str">
        <x:v>Wind</x:v>
      </x:c>
      <x:c r="D24" t="str">
        <x:v>Benchmark suite</x:v>
      </x:c>
      <x:c r="E24" t="str">
        <x:v>Locked V/Kh/Kzt/Ke/Kd/coefficients</x:v>
      </x:c>
      <x:c r="F24" t="str">
        <x:v>Fixed QA vector</x:v>
      </x:c>
      <x:c r="G24" t="str">
        <x:v>Independent arithmetic constants</x:v>
      </x:c>
      <x:c r="H24" t="str">
        <x:v>Workbook formulas</x:v>
      </x:c>
      <x:c r="I24" t="str">
        <x:v>External Python arithmetic</x:v>
      </x:c>
      <x:c r="J24" t="str">
        <x:v>0.001</x:v>
      </x:c>
      <x:c r="K24" t="str">
        <x:v>ACTIVE</x:v>
      </x:c>
    </x:row>
    <x:row r="25">
      <x:c r="B25" s="140" t="str">
        <x:v>S-002</x:v>
      </x:c>
      <x:c r="C25" s="140" t="str">
        <x:v>Seismic</x:v>
      </x:c>
      <x:c r="D25" s="140" t="str">
        <x:v>Importance factor Ie</x:v>
      </x:c>
      <x:c r="E25" s="140" t="str">
        <x:v>Risk Category → Ie</x:v>
      </x:c>
      <x:c r="F25" s="140" t="str">
        <x:v>Risk Category</x:v>
      </x:c>
      <x:c r="G25" s="140" t="str">
        <x:v>ASCE 7-22 Table 1.5-2</x:v>
      </x:c>
      <x:c r="H25" s="140" t="str">
        <x:v>Workbook lookup logic</x:v>
      </x:c>
      <x:c r="I25" s="140" t="str">
        <x:v>Manual category audit</x:v>
      </x:c>
      <x:c r="J25" s="140" t="str">
        <x:v>Exact</x:v>
      </x:c>
      <x:c r="K25" s="140" t="str">
        <x:v>ACTIVE</x:v>
      </x:c>
    </x:row>
    <x:row r="26">
      <x:c r="B26" s="140" t="str">
        <x:v>S-003</x:v>
      </x:c>
      <x:c r="C26" s="140" t="str">
        <x:v>Seismic</x:v>
      </x:c>
      <x:c r="D26" s="140" t="str">
        <x:v>Approximate period Ta</x:v>
      </x:c>
      <x:c r="E26" s="140" t="str">
        <x:v>Ta = Ct·hn^x</x:v>
      </x:c>
      <x:c r="F26" s="140" t="str">
        <x:v>Ct, x, hn</x:v>
      </x:c>
      <x:c r="G26" s="140" t="str">
        <x:v>ASCE 7-22 Table 12.8-2 / period equation</x:v>
      </x:c>
      <x:c r="H26" s="140" t="str">
        <x:v>Workbook formula</x:v>
      </x:c>
      <x:c r="I26" s="140" t="str">
        <x:v>Independent numeric benchmark</x:v>
      </x:c>
      <x:c r="J26" s="140" t="str">
        <x:v>1E-6 sec</x:v>
      </x:c>
      <x:c r="K26" s="140" t="str">
        <x:v>ACTIVE</x:v>
      </x:c>
    </x:row>
    <x:row r="27">
      <x:c r="B27" s="140" t="str">
        <x:v>S-004</x:v>
      </x:c>
      <x:c r="C27" s="140" t="str">
        <x:v>Seismic</x:v>
      </x:c>
      <x:c r="D27" s="140" t="str">
        <x:v>Governing period T</x:v>
      </x:c>
      <x:c r="E27" s="140" t="str">
        <x:v>Ta or min(Tanalysis, CuTa)</x:v>
      </x:c>
      <x:c r="F27" s="140" t="str">
        <x:v>Ta, Tanalysis, Cu</x:v>
      </x:c>
      <x:c r="G27" s="140" t="str">
        <x:v>ASCE 7-22 §12.8.2</x:v>
      </x:c>
      <x:c r="H27" s="140" t="str">
        <x:v>Workbook formula</x:v>
      </x:c>
      <x:c r="I27" s="140" t="str">
        <x:v>Longhand trace</x:v>
      </x:c>
      <x:c r="J27" s="140" t="str">
        <x:v>1E-6 sec</x:v>
      </x:c>
      <x:c r="K27" s="140" t="str">
        <x:v>ACTIVE</x:v>
      </x:c>
    </x:row>
    <x:row r="28">
      <x:c r="B28" s="140" t="str">
        <x:v>S-005</x:v>
      </x:c>
      <x:c r="C28" s="140" t="str">
        <x:v>Seismic</x:v>
      </x:c>
      <x:c r="D28" s="140" t="str">
        <x:v>Seismic response coefficient Cs</x:v>
      </x:c>
      <x:c r="E28" s="140" t="str">
        <x:v>Method 2 candidate limits</x:v>
      </x:c>
      <x:c r="F28" s="140" t="str">
        <x:v>SDS, SD1, S1, TL, T, R, Ie</x:v>
      </x:c>
      <x:c r="G28" s="140" t="str">
        <x:v>ASCE 7-22 §12.8.1.1</x:v>
      </x:c>
      <x:c r="H28" s="140" t="str">
        <x:v>Workbook formula</x:v>
      </x:c>
      <x:c r="I28" s="140" t="str">
        <x:v>Separate algebra path + benchmark</x:v>
      </x:c>
      <x:c r="J28" s="140" t="str">
        <x:v>1E-6</x:v>
      </x:c>
      <x:c r="K28" s="140" t="str">
        <x:v>ACTIVE</x:v>
      </x:c>
    </x:row>
    <x:row r="29">
      <x:c r="B29" s="140" t="str">
        <x:v>S-006</x:v>
      </x:c>
      <x:c r="C29" s="140" t="str">
        <x:v>Seismic</x:v>
      </x:c>
      <x:c r="D29" s="140" t="str">
        <x:v>Base shear V</x:v>
      </x:c>
      <x:c r="E29" s="140" t="str">
        <x:v>V = Cs·W</x:v>
      </x:c>
      <x:c r="F29" s="140" t="str">
        <x:v>Cs, W</x:v>
      </x:c>
      <x:c r="G29" s="140" t="str">
        <x:v>ASCE 7-22 Eq. 12.8-1</x:v>
      </x:c>
      <x:c r="H29" s="140" t="str">
        <x:v>Workbook formula</x:v>
      </x:c>
      <x:c r="I29" s="140" t="str">
        <x:v>Cs_direct × W</x:v>
      </x:c>
      <x:c r="J29" s="140" t="str">
        <x:v>0.001 kip</x:v>
      </x:c>
      <x:c r="K29" s="140" t="str">
        <x:v>ACTIVE</x:v>
      </x:c>
    </x:row>
    <x:row r="30">
      <x:c r="B30" s="140" t="str">
        <x:v>S-007</x:v>
      </x:c>
      <x:c r="C30" s="140" t="str">
        <x:v>Seismic</x:v>
      </x:c>
      <x:c r="D30" s="140" t="str">
        <x:v>Vertical distribution</x:v>
      </x:c>
      <x:c r="E30" s="140" t="str">
        <x:v>Fx = Cvx·V; Cvx = wx hx^k / Σ</x:v>
      </x:c>
      <x:c r="F30" s="140" t="str">
        <x:v>T, W, hx, wx</x:v>
      </x:c>
      <x:c r="G30" s="140" t="str">
        <x:v>ASCE 7-22 §12.8.3</x:v>
      </x:c>
      <x:c r="H30" s="140" t="str">
        <x:v>Workbook formula</x:v>
      </x:c>
      <x:c r="I30" s="140" t="str">
        <x:v>ΣCvx / ΣFx checks + benchmark</x:v>
      </x:c>
      <x:c r="J30" s="140" t="str">
        <x:v>1E-6 / 0.001</x:v>
      </x:c>
      <x:c r="K30" s="140" t="str">
        <x:v>ACTIVE</x:v>
      </x:c>
    </x:row>
    <x:row r="31">
      <x:c r="B31" s="140" t="str">
        <x:v>S-008</x:v>
      </x:c>
      <x:c r="C31" s="140" t="str">
        <x:v>Seismic</x:v>
      </x:c>
      <x:c r="D31" s="140" t="str">
        <x:v>Seismic load-effect interface</x:v>
      </x:c>
      <x:c r="E31" s="140" t="str">
        <x:v>Ev=0.2SDSD; Eh=ρQE</x:v>
      </x:c>
      <x:c r="F31" s="140" t="str">
        <x:v>SDS, ρ, QE</x:v>
      </x:c>
      <x:c r="G31" s="140" t="str">
        <x:v>ASCE 7-22 §12.4.2</x:v>
      </x:c>
      <x:c r="H31" s="140" t="str">
        <x:v>Workbook formula</x:v>
      </x:c>
      <x:c r="I31" s="140" t="str">
        <x:v>Tekla implementation cross-check / SRC-19</x:v>
      </x:c>
      <x:c r="J31" s="140" t="str">
        <x:v>1E-6</x:v>
      </x:c>
      <x:c r="K31" s="140" t="str">
        <x:v>ACTIVE</x:v>
      </x:c>
    </x:row>
    <x:row r="32">
      <x:c r="B32" s="140" t="str">
        <x:v>S-009</x:v>
      </x:c>
      <x:c r="C32" s="140" t="str">
        <x:v>Seismic</x:v>
      </x:c>
      <x:c r="D32" s="140" t="str">
        <x:v>Longhand trace</x:v>
      </x:c>
      <x:c r="E32" s="140" t="str">
        <x:v>All ELF candidates + distribution</x:v>
      </x:c>
      <x:c r="F32" s="140" t="str">
        <x:v>Selected direction</x:v>
      </x:c>
      <x:c r="G32" s="140" t="str">
        <x:v>19_LONGHAND_SEISMIC</x:v>
      </x:c>
      <x:c r="H32" s="140" t="str">
        <x:v>Workbook trace</x:v>
      </x:c>
      <x:c r="I32" s="140" t="str">
        <x:v>18_SEISMIC comparison</x:v>
      </x:c>
      <x:c r="J32" s="140" t="str">
        <x:v>1E-6</x:v>
      </x:c>
      <x:c r="K32" s="140" t="str">
        <x:v>ACTIVE</x:v>
      </x:c>
    </x:row>
    <x:row r="33">
      <x:c r="B33" t="str">
        <x:v>NDS-001</x:v>
      </x:c>
      <x:c r="C33" t="str">
        <x:v>Wood</x:v>
      </x:c>
      <x:c r="D33" t="str">
        <x:v>Section properties</x:v>
      </x:c>
      <x:c r="E33" t="str">
        <x:v>A=bd; S=bd²/6; I=bd³/12</x:v>
      </x:c>
      <x:c r="F33" t="str">
        <x:v>b,d</x:v>
      </x:c>
      <x:c r="G33" t="str">
        <x:v>Geometry / classical mechanics</x:v>
      </x:c>
      <x:c r="H33" t="str">
        <x:v>Workbook formula</x:v>
      </x:c>
      <x:c r="I33" t="str">
        <x:v>Independent algebra path</x:v>
      </x:c>
      <x:c r="J33" t="str">
        <x:v>0.001</x:v>
      </x:c>
      <x:c r="K33" t="str">
        <x:v>ACTIVE</x:v>
      </x:c>
    </x:row>
    <x:row r="34">
      <x:c r="B34" t="str">
        <x:v>NDS-002</x:v>
      </x:c>
      <x:c r="C34" t="str">
        <x:v>Wood</x:v>
      </x:c>
      <x:c r="D34" t="str">
        <x:v>Adjusted Fb′</x:v>
      </x:c>
      <x:c r="E34" t="str">
        <x:v>Fb × sourced ASD adjustment-factor product</x:v>
      </x:c>
      <x:c r="F34" t="str">
        <x:v>Fb + CD/CM/Ct/CF/Cfu/Cr/CL</x:v>
      </x:c>
      <x:c r="G34" t="str">
        <x:v>2024 NDS / SRC-04; values SRC-05</x:v>
      </x:c>
      <x:c r="H34" t="str">
        <x:v>Workbook factor audit</x:v>
      </x:c>
      <x:c r="I34" t="str">
        <x:v>Locked factor-product benchmark</x:v>
      </x:c>
      <x:c r="J34" t="str">
        <x:v>0.001 psi</x:v>
      </x:c>
      <x:c r="K34" t="str">
        <x:v>ACTIVE</x:v>
      </x:c>
    </x:row>
    <x:row r="35">
      <x:c r="B35" t="str">
        <x:v>NDS-003</x:v>
      </x:c>
      <x:c r="C35" t="str">
        <x:v>Wood</x:v>
      </x:c>
      <x:c r="D35" t="str">
        <x:v>Adjusted Fv′</x:v>
      </x:c>
      <x:c r="E35" t="str">
        <x:v>Fv × sourced ASD shear-factor product</x:v>
      </x:c>
      <x:c r="F35" t="str">
        <x:v>Fv + CD/CM/Ct</x:v>
      </x:c>
      <x:c r="G35" t="str">
        <x:v>2024 NDS / SRC-04</x:v>
      </x:c>
      <x:c r="H35" t="str">
        <x:v>Workbook factor audit</x:v>
      </x:c>
      <x:c r="I35" t="str">
        <x:v>Independent product audit</x:v>
      </x:c>
      <x:c r="J35" t="str">
        <x:v>0.001 psi</x:v>
      </x:c>
      <x:c r="K35" t="str">
        <x:v>ACTIVE</x:v>
      </x:c>
    </x:row>
    <x:row r="36">
      <x:c r="B36" t="str">
        <x:v>NDS-004</x:v>
      </x:c>
      <x:c r="C36" t="str">
        <x:v>Wood</x:v>
      </x:c>
      <x:c r="D36" t="str">
        <x:v>Adjusted Fc⊥′</x:v>
      </x:c>
      <x:c r="E36" t="str">
        <x:v>Fc⊥ × sourced bearing-factor product</x:v>
      </x:c>
      <x:c r="F36" t="str">
        <x:v>Fc⊥ + CM/Ct/Cb</x:v>
      </x:c>
      <x:c r="G36" t="str">
        <x:v>2024 NDS / SRC-04</x:v>
      </x:c>
      <x:c r="H36" t="str">
        <x:v>Workbook factor audit</x:v>
      </x:c>
      <x:c r="I36" t="str">
        <x:v>Independent product audit</x:v>
      </x:c>
      <x:c r="J36" t="str">
        <x:v>0.001 psi</x:v>
      </x:c>
      <x:c r="K36" t="str">
        <x:v>ACTIVE</x:v>
      </x:c>
    </x:row>
    <x:row r="37">
      <x:c r="B37" t="str">
        <x:v>NDS-005</x:v>
      </x:c>
      <x:c r="C37" t="str">
        <x:v>Wood</x:v>
      </x:c>
      <x:c r="D37" t="str">
        <x:v>Adjusted E′</x:v>
      </x:c>
      <x:c r="E37" t="str">
        <x:v>E × sourced stiffness-factor product</x:v>
      </x:c>
      <x:c r="F37" t="str">
        <x:v>E + CM/Ct</x:v>
      </x:c>
      <x:c r="G37" t="str">
        <x:v>2024 NDS / SRC-04</x:v>
      </x:c>
      <x:c r="H37" t="str">
        <x:v>Workbook factor audit</x:v>
      </x:c>
      <x:c r="I37" t="str">
        <x:v>Independent product audit</x:v>
      </x:c>
      <x:c r="J37" t="str">
        <x:v>0.001 psi</x:v>
      </x:c>
      <x:c r="K37" t="str">
        <x:v>ACTIVE</x:v>
      </x:c>
    </x:row>
    <x:row r="38">
      <x:c r="B38" t="str">
        <x:v>NDS-006</x:v>
      </x:c>
      <x:c r="C38" t="str">
        <x:v>Wood</x:v>
      </x:c>
      <x:c r="D38" t="str">
        <x:v>Bending utilization</x:v>
      </x:c>
      <x:c r="E38" t="str">
        <x:v>fb/Fb′; fb=M/S</x:v>
      </x:c>
      <x:c r="F38" t="str">
        <x:v>M,S,Fb′</x:v>
      </x:c>
      <x:c r="G38" t="str">
        <x:v>NDS member design + mechanics</x:v>
      </x:c>
      <x:c r="H38" t="str">
        <x:v>Workbook formula</x:v>
      </x:c>
      <x:c r="I38" t="str">
        <x:v>Locked stress benchmark</x:v>
      </x:c>
      <x:c r="J38" t="str">
        <x:v>1E-6</x:v>
      </x:c>
      <x:c r="K38" t="str">
        <x:v>ACTIVE</x:v>
      </x:c>
    </x:row>
    <x:row r="39">
      <x:c r="B39" t="str">
        <x:v>NDS-007</x:v>
      </x:c>
      <x:c r="C39" t="str">
        <x:v>Wood</x:v>
      </x:c>
      <x:c r="D39" t="str">
        <x:v>Shear utilization</x:v>
      </x:c>
      <x:c r="E39" t="str">
        <x:v>fv/Fv′; fv=1.5V/A (current conservative screen)</x:v>
      </x:c>
      <x:c r="F39" t="str">
        <x:v>V,A,Fv′</x:v>
      </x:c>
      <x:c r="G39" t="str">
        <x:v>2024 NDS review gate / SRC-20</x:v>
      </x:c>
      <x:c r="H39" t="str">
        <x:v>Workbook formula</x:v>
      </x:c>
      <x:c r="I39" t="str">
        <x:v>Locked stress benchmark</x:v>
      </x:c>
      <x:c r="J39" t="str">
        <x:v>1E-6</x:v>
      </x:c>
      <x:c r="K39" t="str">
        <x:v>ACTIVE</x:v>
      </x:c>
    </x:row>
    <x:row r="40">
      <x:c r="B40" t="str">
        <x:v>NDS-008</x:v>
      </x:c>
      <x:c r="C40" t="str">
        <x:v>Wood</x:v>
      </x:c>
      <x:c r="D40" t="str">
        <x:v>Bearing utilization</x:v>
      </x:c>
      <x:c r="E40" t="str">
        <x:v>R/(b·lb) ÷ Fc⊥′</x:v>
      </x:c>
      <x:c r="F40" t="str">
        <x:v>R,b,lb,Fc⊥′</x:v>
      </x:c>
      <x:c r="G40" t="str">
        <x:v>NDS bearing check</x:v>
      </x:c>
      <x:c r="H40" t="str">
        <x:v>Workbook formula</x:v>
      </x:c>
      <x:c r="I40" t="str">
        <x:v>Independent area/stress path</x:v>
      </x:c>
      <x:c r="J40" t="str">
        <x:v>1E-6</x:v>
      </x:c>
      <x:c r="K40" t="str">
        <x:v>ACTIVE</x:v>
      </x:c>
    </x:row>
    <x:row r="41">
      <x:c r="B41" t="str">
        <x:v>NDS-009</x:v>
      </x:c>
      <x:c r="C41" t="str">
        <x:v>Wood</x:v>
      </x:c>
      <x:c r="D41" t="str">
        <x:v>Deflection utilization</x:v>
      </x:c>
      <x:c r="E41" t="str">
        <x:v>Δ / allowable Δ</x:v>
      </x:c>
      <x:c r="F41" t="str">
        <x:v>w,L,E′,I, limits</x:v>
      </x:c>
      <x:c r="G41" t="str">
        <x:v>Elastic beam theory / CBC serviceability</x:v>
      </x:c>
      <x:c r="H41" t="str">
        <x:v>Workbook formula</x:v>
      </x:c>
      <x:c r="I41" t="str">
        <x:v>Independent elastic benchmark</x:v>
      </x:c>
      <x:c r="J41" t="str">
        <x:v>1E-6</x:v>
      </x:c>
      <x:c r="K41" t="str">
        <x:v>ACTIVE</x:v>
      </x:c>
    </x:row>
    <x:row r="42">
      <x:c r="B42" t="str">
        <x:v>NDS-010</x:v>
      </x:c>
      <x:c r="C42" t="str">
        <x:v>Wood</x:v>
      </x:c>
      <x:c r="D42" t="str">
        <x:v>Longhand trace</x:v>
      </x:c>
      <x:c r="E42" t="str">
        <x:v>Inputs → factors → adjusted values → D/C</x:v>
      </x:c>
      <x:c r="F42" t="str">
        <x:v>Selected member</x:v>
      </x:c>
      <x:c r="G42" t="str">
        <x:v>21_LONGHAND_WOOD</x:v>
      </x:c>
      <x:c r="H42" t="str">
        <x:v>Workbook trace</x:v>
      </x:c>
      <x:c r="I42" t="str">
        <x:v>20_WOOD_BEAM comparison</x:v>
      </x:c>
      <x:c r="J42" t="str">
        <x:v>Exact</x:v>
      </x:c>
      <x:c r="K42" t="str">
        <x:v>ACTIVE</x:v>
      </x:c>
    </x:row>
    <x:row r="43">
      <x:c r="B43" t="str">
        <x:v>NDS-C01</x:v>
      </x:c>
      <x:c r="C43" t="str">
        <x:v>Wood Column</x:v>
      </x:c>
      <x:c r="D43" t="str">
        <x:v>Effective length / slenderness</x:v>
      </x:c>
      <x:c r="E43" t="str">
        <x:v>ℓe=KeL; λ=ℓe/d</x:v>
      </x:c>
      <x:c r="F43" t="str">
        <x:v>L, Ke, b, d</x:v>
      </x:c>
      <x:c r="G43" t="str">
        <x:v>2024 NDS §3.7.1</x:v>
      </x:c>
      <x:c r="H43" t="str">
        <x:v>Workbook formula</x:v>
      </x:c>
      <x:c r="I43" t="str">
        <x:v>Direct geometry recomputation</x:v>
      </x:c>
      <x:c r="J43" t="str">
        <x:v>1E-6</x:v>
      </x:c>
      <x:c r="K43" t="str">
        <x:v>ACTIVE</x:v>
      </x:c>
    </x:row>
    <x:row r="44">
      <x:c r="B44" t="str">
        <x:v>NDS-C02</x:v>
      </x:c>
      <x:c r="C44" t="str">
        <x:v>Wood Column</x:v>
      </x:c>
      <x:c r="D44" t="str">
        <x:v>Adjusted Fc*</x:v>
      </x:c>
      <x:c r="E44" t="str">
        <x:v>Fc × all applicable factors except Cp</x:v>
      </x:c>
      <x:c r="F44" t="str">
        <x:v>Fc, CD, CM, Ct, CF, Ci</x:v>
      </x:c>
      <x:c r="G44" t="str">
        <x:v>2024 NDS / SRC-04</x:v>
      </x:c>
      <x:c r="H44" t="str">
        <x:v>Workbook factor audit</x:v>
      </x:c>
      <x:c r="I44" t="str">
        <x:v>Independent product audit</x:v>
      </x:c>
      <x:c r="J44" t="str">
        <x:v>0.001 psi</x:v>
      </x:c>
      <x:c r="K44" t="str">
        <x:v>ACTIVE</x:v>
      </x:c>
    </x:row>
    <x:row r="45">
      <x:c r="B45" t="str">
        <x:v>NDS-C03</x:v>
      </x:c>
      <x:c r="C45" t="str">
        <x:v>Wood Column</x:v>
      </x:c>
      <x:c r="D45" t="str">
        <x:v>Adjusted Emin′</x:v>
      </x:c>
      <x:c r="E45" t="str">
        <x:v>Emin × applicable stability factors</x:v>
      </x:c>
      <x:c r="F45" t="str">
        <x:v>Emin, CM, Ct, Ci, CT</x:v>
      </x:c>
      <x:c r="G45" t="str">
        <x:v>2024 NDS / SRC-04</x:v>
      </x:c>
      <x:c r="H45" t="str">
        <x:v>Workbook factor audit</x:v>
      </x:c>
      <x:c r="I45" t="str">
        <x:v>Independent product audit</x:v>
      </x:c>
      <x:c r="J45" t="str">
        <x:v>0.001 psi</x:v>
      </x:c>
      <x:c r="K45" t="str">
        <x:v>ACTIVE</x:v>
      </x:c>
    </x:row>
    <x:row r="46">
      <x:c r="B46" t="str">
        <x:v>NDS-C04</x:v>
      </x:c>
      <x:c r="C46" t="str">
        <x:v>Wood Column</x:v>
      </x:c>
      <x:c r="D46" t="str">
        <x:v>Euler buckling stress FcE</x:v>
      </x:c>
      <x:c r="E46" t="str">
        <x:v>0.822 Emin′/(ℓe/d)²</x:v>
      </x:c>
      <x:c r="F46" t="str">
        <x:v>Emin′, slenderness</x:v>
      </x:c>
      <x:c r="G46" t="str">
        <x:v>2024 NDS Eq. 3.7-1 basis</x:v>
      </x:c>
      <x:c r="H46" t="str">
        <x:v>Workbook d-form equation</x:v>
      </x:c>
      <x:c r="I46" t="str">
        <x:v>π²E/(ℓe/r)² alternate form</x:v>
      </x:c>
      <x:c r="J46" t="str">
        <x:v>0.001 psi</x:v>
      </x:c>
      <x:c r="K46" t="str">
        <x:v>ACTIVE</x:v>
      </x:c>
    </x:row>
    <x:row r="47">
      <x:c r="B47" t="str">
        <x:v>NDS-C05</x:v>
      </x:c>
      <x:c r="C47" t="str">
        <x:v>Wood Column</x:v>
      </x:c>
      <x:c r="D47" t="str">
        <x:v>Column stability Cp</x:v>
      </x:c>
      <x:c r="E47" t="str">
        <x:v>NDS Eq. 3.7-1</x:v>
      </x:c>
      <x:c r="F47" t="str">
        <x:v>FcE, Fc*, c</x:v>
      </x:c>
      <x:c r="G47" t="str">
        <x:v>2024 NDS §3.7.1</x:v>
      </x:c>
      <x:c r="H47" t="str">
        <x:v>Workbook nonlinear formula</x:v>
      </x:c>
      <x:c r="I47" t="str">
        <x:v>Locked independent benchmark</x:v>
      </x:c>
      <x:c r="J47" t="str">
        <x:v>1E-6</x:v>
      </x:c>
      <x:c r="K47" t="str">
        <x:v>ACTIVE</x:v>
      </x:c>
    </x:row>
    <x:row r="48">
      <x:c r="B48" t="str">
        <x:v>NDS-C06</x:v>
      </x:c>
      <x:c r="C48" t="str">
        <x:v>Wood Column</x:v>
      </x:c>
      <x:c r="D48" t="str">
        <x:v>Adjusted compression Fc′</x:v>
      </x:c>
      <x:c r="E48" t="str">
        <x:v>Fc′=Fc*·Cp</x:v>
      </x:c>
      <x:c r="F48" t="str">
        <x:v>Fc*, Cp</x:v>
      </x:c>
      <x:c r="G48" t="str">
        <x:v>2024 NDS §3.7</x:v>
      </x:c>
      <x:c r="H48" t="str">
        <x:v>Workbook formula</x:v>
      </x:c>
      <x:c r="I48" t="str">
        <x:v>Capacity back-check</x:v>
      </x:c>
      <x:c r="J48" t="str">
        <x:v>0.001 psi</x:v>
      </x:c>
      <x:c r="K48" t="str">
        <x:v>ACTIVE</x:v>
      </x:c>
    </x:row>
    <x:row r="49">
      <x:c r="B49" t="str">
        <x:v>NDS-C07</x:v>
      </x:c>
      <x:c r="C49" t="str">
        <x:v>Wood Column</x:v>
      </x:c>
      <x:c r="D49" t="str">
        <x:v>Axial capacity / utilization</x:v>
      </x:c>
      <x:c r="E49" t="str">
        <x:v>Pallow=Fc′A; D/C=P/Pallow</x:v>
      </x:c>
      <x:c r="F49" t="str">
        <x:v>P, A, Fc′</x:v>
      </x:c>
      <x:c r="G49" t="str">
        <x:v>ASD member design</x:v>
      </x:c>
      <x:c r="H49" t="str">
        <x:v>Workbook formula</x:v>
      </x:c>
      <x:c r="I49" t="str">
        <x:v>Stress form fc/Fc′</x:v>
      </x:c>
      <x:c r="J49" t="str">
        <x:v>1E-6</x:v>
      </x:c>
      <x:c r="K49" t="str">
        <x:v>ACTIVE</x:v>
      </x:c>
    </x:row>
    <x:row r="50">
      <x:c r="B50" t="str">
        <x:v>NDS-C08</x:v>
      </x:c>
      <x:c r="C50" t="str">
        <x:v>Wood Column</x:v>
      </x:c>
      <x:c r="D50" t="str">
        <x:v>Longhand trace</x:v>
      </x:c>
      <x:c r="E50" t="str">
        <x:v>Inputs → λ → FcE → Cp → Fc′ → capacity</x:v>
      </x:c>
      <x:c r="F50" t="str">
        <x:v>Selected member</x:v>
      </x:c>
      <x:c r="G50" t="str">
        <x:v>23_LONGHAND_COLUMN</x:v>
      </x:c>
      <x:c r="H50" t="str">
        <x:v>Workbook trace</x:v>
      </x:c>
      <x:c r="I50" t="str">
        <x:v>22_WOOD_COLUMN comparison</x:v>
      </x:c>
      <x:c r="J50" t="str">
        <x:v>Exact</x:v>
      </x:c>
      <x:c r="K50" t="str">
        <x:v>ACTIVE</x:v>
      </x:c>
    </x:row>
    <x:row r="51">
      <x:c r="B51" s="408" t="str">
        <x:v>SDP-SW01</x:v>
      </x:c>
      <x:c r="C51" s="408" t="str">
        <x:v>Shear Wall</x:v>
      </x:c>
      <x:c r="D51" s="408" t="str">
        <x:v>ASD unit shear capacity</x:v>
      </x:c>
      <x:c r="E51" s="408" t="str">
        <x:v>vallow = vn / ASD factor × CAR × Cother</x:v>
      </x:c>
      <x:c r="F51" s="408" t="str">
        <x:v>vn, load type, aspect ratio, Cother</x:v>
      </x:c>
      <x:c r="G51" s="408" t="str">
        <x:v>2021 SDPWS §4.1.4 / §4.3.3</x:v>
      </x:c>
      <x:c r="H51" s="408" t="str">
        <x:v>Workbook formula</x:v>
      </x:c>
      <x:c r="I51" s="408" t="str">
        <x:v>Locked capacity benchmark</x:v>
      </x:c>
      <x:c r="J51" s="408" t="str">
        <x:v>1E-6</x:v>
      </x:c>
      <x:c r="K51" s="408" t="str">
        <x:v>ACTIVE</x:v>
      </x:c>
    </x:row>
    <x:row r="52">
      <x:c r="B52" s="408" t="str">
        <x:v>SDP-SW02</x:v>
      </x:c>
      <x:c r="C52" s="408" t="str">
        <x:v>Shear Wall</x:v>
      </x:c>
      <x:c r="D52" s="408" t="str">
        <x:v>Induced unit shear</x:v>
      </x:c>
      <x:c r="E52" s="408" t="str">
        <x:v>v = V / Σb</x:v>
      </x:c>
      <x:c r="F52" s="408" t="str">
        <x:v>V, effective wall length</x:v>
      </x:c>
      <x:c r="G52" s="408" t="str">
        <x:v>Mechanics / lateral load path</x:v>
      </x:c>
      <x:c r="H52" s="408" t="str">
        <x:v>Workbook formula</x:v>
      </x:c>
      <x:c r="I52" s="408" t="str">
        <x:v>Demand/capacity back-check</x:v>
      </x:c>
      <x:c r="J52" s="408" t="str">
        <x:v>1E-6</x:v>
      </x:c>
      <x:c r="K52" s="408" t="str">
        <x:v>ACTIVE</x:v>
      </x:c>
    </x:row>
    <x:row r="53">
      <x:c r="B53" s="408" t="str">
        <x:v>SDP-SW03</x:v>
      </x:c>
      <x:c r="C53" s="408" t="str">
        <x:v>Shear Wall</x:v>
      </x:c>
      <x:c r="D53" s="408" t="str">
        <x:v>WSP aspect-ratio factor</x:v>
      </x:c>
      <x:c r="E53" s="408" t="str">
        <x:v>CAR = 1.0 for h/b≤2; 1.25−0.125h/b up to 3.5</x:v>
      </x:c>
      <x:c r="F53" s="408" t="str">
        <x:v>h,b,method,system</x:v>
      </x:c>
      <x:c r="G53" s="408" t="str">
        <x:v>2021 SDPWS §4.3.3.2</x:v>
      </x:c>
      <x:c r="H53" s="408" t="str">
        <x:v>Workbook formula</x:v>
      </x:c>
      <x:c r="I53" s="408" t="str">
        <x:v>Locked h/b=3 benchmark</x:v>
      </x:c>
      <x:c r="J53" s="408" t="str">
        <x:v>1E-6</x:v>
      </x:c>
      <x:c r="K53" s="408" t="str">
        <x:v>ACTIVE</x:v>
      </x:c>
    </x:row>
    <x:row r="54">
      <x:c r="B54" s="408" t="str">
        <x:v>SDP-SW04</x:v>
      </x:c>
      <x:c r="C54" s="408" t="str">
        <x:v>Shear Wall</x:v>
      </x:c>
      <x:c r="D54" s="408" t="str">
        <x:v>Shear-wall deflection</x:v>
      </x:c>
      <x:c r="E54" s="408" t="str">
        <x:v>δ = 8vh³/(EAb)+vh/(1000Ga)+(h/b)Δa</x:v>
      </x:c>
      <x:c r="F54" s="408" t="str">
        <x:v>v,h,E,A,b,Ga,Δa</x:v>
      </x:c>
      <x:c r="G54" s="408" t="str">
        <x:v>2021 SDPWS Eq. 4.3-1</x:v>
      </x:c>
      <x:c r="H54" s="408" t="str">
        <x:v>Workbook component sum</x:v>
      </x:c>
      <x:c r="I54" s="408" t="str">
        <x:v>Locked 3-term benchmark</x:v>
      </x:c>
      <x:c r="J54" s="408" t="str">
        <x:v>1E-6 in</x:v>
      </x:c>
      <x:c r="K54" s="408" t="str">
        <x:v>ACTIVE</x:v>
      </x:c>
    </x:row>
    <x:row r="55">
      <x:c r="B55" s="408" t="str">
        <x:v>SDP-SW05</x:v>
      </x:c>
      <x:c r="C55" s="408" t="str">
        <x:v>Shear Wall</x:v>
      </x:c>
      <x:c r="D55" s="408" t="str">
        <x:v>Overturning mechanics screen</x:v>
      </x:c>
      <x:c r="E55" s="408" t="str">
        <x:v>T = Vh / Σb</x:v>
      </x:c>
      <x:c r="F55" s="408" t="str">
        <x:v>V,h,Σb</x:v>
      </x:c>
      <x:c r="G55" s="408" t="str">
        <x:v>Statics</x:v>
      </x:c>
      <x:c r="H55" s="408" t="str">
        <x:v>Workbook formula</x:v>
      </x:c>
      <x:c r="I55" s="408" t="str">
        <x:v>Moment/couple recomputation</x:v>
      </x:c>
      <x:c r="J55" s="408" t="str">
        <x:v>1E-6 lb</x:v>
      </x:c>
      <x:c r="K55" s="408" t="str">
        <x:v>ACTIVE</x:v>
      </x:c>
    </x:row>
    <x:row r="56">
      <x:c r="B56" s="408" t="str">
        <x:v>SDP-SW06</x:v>
      </x:c>
      <x:c r="C56" s="408" t="str">
        <x:v>Shear Wall</x:v>
      </x:c>
      <x:c r="D56" s="408" t="str">
        <x:v>Longhand trace</x:v>
      </x:c>
      <x:c r="E56" s="408" t="str">
        <x:v>Inputs → capacity → v → δ components → D/C</x:v>
      </x:c>
      <x:c r="F56" s="408" t="str">
        <x:v>Selected wall line</x:v>
      </x:c>
      <x:c r="G56" s="408" t="str">
        <x:v>26_LONGHAND_SHEAR</x:v>
      </x:c>
      <x:c r="H56" s="408" t="str">
        <x:v>Workbook trace</x:v>
      </x:c>
      <x:c r="I56" s="408" t="str">
        <x:v>24_SHEAR_WALL comparison</x:v>
      </x:c>
      <x:c r="J56" s="408" t="str">
        <x:v>Exact</x:v>
      </x:c>
      <x:c r="K56" s="408" t="str">
        <x:v>ACTIVE</x:v>
      </x:c>
    </x:row>
    <x:row r="57">
      <x:c r="B57" s="408" t="str">
        <x:v>SDP-D01</x:v>
      </x:c>
      <x:c r="C57" s="408" t="str">
        <x:v>Diaphragm</x:v>
      </x:c>
      <x:c r="D57" s="408" t="str">
        <x:v>ASD unit shear capacity</x:v>
      </x:c>
      <x:c r="E57" s="408" t="str">
        <x:v>vallow = vn / ASD factor × Cother</x:v>
      </x:c>
      <x:c r="F57" s="408" t="str">
        <x:v>vn, load type, Cother</x:v>
      </x:c>
      <x:c r="G57" s="408" t="str">
        <x:v>2021 SDPWS §4.1.4 / §4.2.4</x:v>
      </x:c>
      <x:c r="H57" s="408" t="str">
        <x:v>Workbook formula</x:v>
      </x:c>
      <x:c r="I57" s="408" t="str">
        <x:v>Locked capacity benchmark</x:v>
      </x:c>
      <x:c r="J57" s="408" t="str">
        <x:v>1E-6</x:v>
      </x:c>
      <x:c r="K57" s="408" t="str">
        <x:v>ACTIVE</x:v>
      </x:c>
    </x:row>
    <x:row r="58">
      <x:c r="B58" s="408" t="str">
        <x:v>SDP-D02</x:v>
      </x:c>
      <x:c r="C58" s="408" t="str">
        <x:v>Diaphragm</x:v>
      </x:c>
      <x:c r="D58" s="408" t="str">
        <x:v>Aspect-ratio gate</x:v>
      </x:c>
      <x:c r="E58" s="408" t="str">
        <x:v>L/W ≤ sourced assembly limit</x:v>
      </x:c>
      <x:c r="F58" s="408" t="str">
        <x:v>L,W,max ratio</x:v>
      </x:c>
      <x:c r="G58" s="408" t="str">
        <x:v>2021 SDPWS §4.2.2</x:v>
      </x:c>
      <x:c r="H58" s="408" t="str">
        <x:v>Workbook formula</x:v>
      </x:c>
      <x:c r="I58" s="408" t="str">
        <x:v>Direct geometry recomputation</x:v>
      </x:c>
      <x:c r="J58" s="408" t="str">
        <x:v>Exact</x:v>
      </x:c>
      <x:c r="K58" s="408" t="str">
        <x:v>ACTIVE</x:v>
      </x:c>
    </x:row>
    <x:row r="59">
      <x:c r="B59" s="408" t="str">
        <x:v>SDP-D03</x:v>
      </x:c>
      <x:c r="C59" s="408" t="str">
        <x:v>Diaphragm</x:v>
      </x:c>
      <x:c r="D59" s="408" t="str">
        <x:v>Deflection — simple UDL</x:v>
      </x:c>
      <x:c r="E59" s="408" t="str">
        <x:v>δ = 5vL³/(8EAW)+0.25vL/(1000Ga)+Σ(xΔc)/(2W)</x:v>
      </x:c>
      <x:c r="F59" s="408" t="str">
        <x:v>v,L,E,A,W,Ga,splice slip</x:v>
      </x:c>
      <x:c r="G59" s="408" t="str">
        <x:v>2021 SDPWS Table 4.2.3</x:v>
      </x:c>
      <x:c r="H59" s="408" t="str">
        <x:v>Workbook component sum</x:v>
      </x:c>
      <x:c r="I59" s="408" t="str">
        <x:v>Locked benchmark</x:v>
      </x:c>
      <x:c r="J59" s="408" t="str">
        <x:v>1E-6 in</x:v>
      </x:c>
      <x:c r="K59" s="408" t="str">
        <x:v>ACTIVE</x:v>
      </x:c>
    </x:row>
    <x:row r="60">
      <x:c r="B60" s="408" t="str">
        <x:v>SDP-D04</x:v>
      </x:c>
      <x:c r="C60" s="408" t="str">
        <x:v>Diaphragm</x:v>
      </x:c>
      <x:c r="D60" s="408" t="str">
        <x:v>Deflection — cantilever UDL/tip</x:v>
      </x:c>
      <x:c r="E60" s="408" t="str">
        <x:v>Configuration-specific 3-term forms</x:v>
      </x:c>
      <x:c r="F60" s="408" t="str">
        <x:v>v,L,E,A,W,Ga,splice slip</x:v>
      </x:c>
      <x:c r="G60" s="408" t="str">
        <x:v>2021 SDPWS Table 4.2.3</x:v>
      </x:c>
      <x:c r="H60" s="408" t="str">
        <x:v>Workbook branch formula</x:v>
      </x:c>
      <x:c r="I60" s="408" t="str">
        <x:v>Two locked benchmarks</x:v>
      </x:c>
      <x:c r="J60" s="408" t="str">
        <x:v>1E-6 in</x:v>
      </x:c>
      <x:c r="K60" s="408" t="str">
        <x:v>ACTIVE</x:v>
      </x:c>
    </x:row>
    <x:row r="61">
      <x:c r="B61" s="408" t="str">
        <x:v>SDP-D05</x:v>
      </x:c>
      <x:c r="C61" s="408" t="str">
        <x:v>Diaphragm</x:v>
      </x:c>
      <x:c r="D61" s="408" t="str">
        <x:v>Chord-force mechanics screen</x:v>
      </x:c>
      <x:c r="E61" s="408" t="str">
        <x:v>T = vL/4, vL/2, or vL by configuration</x:v>
      </x:c>
      <x:c r="F61" s="408" t="str">
        <x:v>v,L,configuration</x:v>
      </x:c>
      <x:c r="G61" s="408" t="str">
        <x:v>Beam statics</x:v>
      </x:c>
      <x:c r="H61" s="408" t="str">
        <x:v>Workbook branch formula</x:v>
      </x:c>
      <x:c r="I61" s="408" t="str">
        <x:v>Locked simple-span benchmark</x:v>
      </x:c>
      <x:c r="J61" s="408" t="str">
        <x:v>1E-6 lb</x:v>
      </x:c>
      <x:c r="K61" s="408" t="str">
        <x:v>ACTIVE</x:v>
      </x:c>
    </x:row>
    <x:row r="62">
      <x:c r="B62" s="408" t="str">
        <x:v>SDP-D06</x:v>
      </x:c>
      <x:c r="C62" s="408" t="str">
        <x:v>Diaphragm</x:v>
      </x:c>
      <x:c r="D62" s="408" t="str">
        <x:v>Longhand trace</x:v>
      </x:c>
      <x:c r="E62" s="408" t="str">
        <x:v>Inputs → capacity → chord screen → δ components → D/C</x:v>
      </x:c>
      <x:c r="F62" s="408" t="str">
        <x:v>Selected diaphragm</x:v>
      </x:c>
      <x:c r="G62" s="408" t="str">
        <x:v>27_LONGHAND_DIAPH</x:v>
      </x:c>
      <x:c r="H62" s="408" t="str">
        <x:v>Workbook trace</x:v>
      </x:c>
      <x:c r="I62" s="408" t="str">
        <x:v>25_DIAPHRAGM comparison</x:v>
      </x:c>
      <x:c r="J62" s="408" t="str">
        <x:v>Exact</x:v>
      </x:c>
      <x:c r="K62" s="408" t="str">
        <x:v>ACTIVE</x:v>
      </x:c>
    </x:row>
    <x:row r="63">
      <x:c r="B63" s="408" t="str">
        <x:v>NDS-CON01</x:v>
      </x:c>
      <x:c r="C63" s="408" t="str">
        <x:v>Connection</x:v>
      </x:c>
      <x:c r="D63" s="408" t="str">
        <x:v>Load/slip modulus γ</x:v>
      </x:c>
      <x:c r="E63" s="408" t="str">
        <x:v>180000D^1.5 wood-wood; 270000D^1.5 wood-metal</x:v>
      </x:c>
      <x:c r="F63" s="408" t="str">
        <x:v>D, material pair</x:v>
      </x:c>
      <x:c r="G63" s="408" t="str">
        <x:v>2024 NDS Errata / SRC-30</x:v>
      </x:c>
      <x:c r="H63" s="408" t="str">
        <x:v>Workbook formula</x:v>
      </x:c>
      <x:c r="I63" s="408" t="str">
        <x:v>Locked gamma benchmark</x:v>
      </x:c>
      <x:c r="J63" s="408" t="str">
        <x:v>1E-6</x:v>
      </x:c>
      <x:c r="K63" s="408" t="str">
        <x:v>ACTIVE</x:v>
      </x:c>
    </x:row>
    <x:row r="64">
      <x:c r="B64" s="408" t="str">
        <x:v>NDS-CON02</x:v>
      </x:c>
      <x:c r="C64" s="408" t="str">
        <x:v>Connection</x:v>
      </x:c>
      <x:c r="D64" s="408" t="str">
        <x:v>Group stiffness ratio</x:v>
      </x:c>
      <x:c r="E64" s="408" t="str">
        <x:v>RE=min(EsAs/EmAm, reciprocal)</x:v>
      </x:c>
      <x:c r="F64" s="408" t="str">
        <x:v>E/A main + side</x:v>
      </x:c>
      <x:c r="G64" s="408" t="str">
        <x:v>2024 NDS Errata</x:v>
      </x:c>
      <x:c r="H64" s="408" t="str">
        <x:v>Workbook formula</x:v>
      </x:c>
      <x:c r="I64" s="408" t="str">
        <x:v>Locked ratio benchmark</x:v>
      </x:c>
      <x:c r="J64" s="408" t="str">
        <x:v>1E-9</x:v>
      </x:c>
      <x:c r="K64" s="408" t="str">
        <x:v>ACTIVE</x:v>
      </x:c>
    </x:row>
    <x:row r="65">
      <x:c r="B65" s="408" t="str">
        <x:v>NDS-CON03</x:v>
      </x:c>
      <x:c r="C65" s="408" t="str">
        <x:v>Connection</x:v>
      </x:c>
      <x:c r="D65" s="408" t="str">
        <x:v>Group-action factor Cg</x:v>
      </x:c>
      <x:c r="E65" s="408" t="str">
        <x:v>NDS Eq. 11.3-1</x:v>
      </x:c>
      <x:c r="F65" s="408" t="str">
        <x:v>n,s,D,E,A</x:v>
      </x:c>
      <x:c r="G65" s="408" t="str">
        <x:v>2024 NDS Errata / SRC-30</x:v>
      </x:c>
      <x:c r="H65" s="408" t="str">
        <x:v>Workbook formula</x:v>
      </x:c>
      <x:c r="I65" s="408" t="str">
        <x:v>Locked nonlinear benchmark</x:v>
      </x:c>
      <x:c r="J65" s="408" t="str">
        <x:v>1E-9</x:v>
      </x:c>
      <x:c r="K65" s="408" t="str">
        <x:v>ACTIVE</x:v>
      </x:c>
    </x:row>
    <x:row r="66">
      <x:c r="B66" s="408" t="str">
        <x:v>NDS-CON04</x:v>
      </x:c>
      <x:c r="C66" s="408" t="str">
        <x:v>Connection</x:v>
      </x:c>
      <x:c r="D66" s="408" t="str">
        <x:v>Lateral capacity</x:v>
      </x:c>
      <x:c r="E66" s="408" t="str">
        <x:v>Zall = Z′ n Cg Cother</x:v>
      </x:c>
      <x:c r="F66" s="408" t="str">
        <x:v>Z′,n,Cg,factors</x:v>
      </x:c>
      <x:c r="G66" s="408" t="str">
        <x:v>2024 NDS / source output</x:v>
      </x:c>
      <x:c r="H66" s="408" t="str">
        <x:v>Workbook formula</x:v>
      </x:c>
      <x:c r="I66" s="408" t="str">
        <x:v>Independent product arithmetic</x:v>
      </x:c>
      <x:c r="J66" s="408" t="str">
        <x:v>1E-6 lb</x:v>
      </x:c>
      <x:c r="K66" s="408" t="str">
        <x:v>ACTIVE</x:v>
      </x:c>
    </x:row>
    <x:row r="67">
      <x:c r="B67" s="408" t="str">
        <x:v>NDS-CON05</x:v>
      </x:c>
      <x:c r="C67" s="408" t="str">
        <x:v>Connection</x:v>
      </x:c>
      <x:c r="D67" s="408" t="str">
        <x:v>Withdrawal capacity</x:v>
      </x:c>
      <x:c r="E67" s="408" t="str">
        <x:v>Wall = min(W′,Pt′ where applicable) n Cother</x:v>
      </x:c>
      <x:c r="F67" s="408" t="str">
        <x:v>W′,Pt′,n</x:v>
      </x:c>
      <x:c r="G67" s="408" t="str">
        <x:v>2024 NDS / source output</x:v>
      </x:c>
      <x:c r="H67" s="408" t="str">
        <x:v>Workbook formula</x:v>
      </x:c>
      <x:c r="I67" s="408" t="str">
        <x:v>Independent min/product check</x:v>
      </x:c>
      <x:c r="J67" s="408" t="str">
        <x:v>1E-6 lb</x:v>
      </x:c>
      <x:c r="K67" s="408" t="str">
        <x:v>ACTIVE</x:v>
      </x:c>
    </x:row>
    <x:row r="68">
      <x:c r="B68" s="408" t="str">
        <x:v>NDS-CON06</x:v>
      </x:c>
      <x:c r="C68" s="408" t="str">
        <x:v>Connection</x:v>
      </x:c>
      <x:c r="D68" s="408" t="str">
        <x:v>Longhand trace</x:v>
      </x:c>
      <x:c r="E68" s="408" t="str">
        <x:v>Inputs → Cg → lateral/withdrawal capacities → D/C</x:v>
      </x:c>
      <x:c r="F68" s="408" t="str">
        <x:v>Selected connection</x:v>
      </x:c>
      <x:c r="G68" s="408" t="str">
        <x:v>32_LONGHAND_CONN</x:v>
      </x:c>
      <x:c r="H68" s="408" t="str">
        <x:v>Workbook trace</x:v>
      </x:c>
      <x:c r="I68" s="408" t="str">
        <x:v>28_CONNECTIONS comparison</x:v>
      </x:c>
      <x:c r="J68" s="408" t="str">
        <x:v>Exact</x:v>
      </x:c>
      <x:c r="K68" s="408" t="str">
        <x:v>ACTIVE</x:v>
      </x:c>
    </x:row>
    <x:row r="69">
      <x:c r="B69" s="408" t="str">
        <x:v>HD-001</x:v>
      </x:c>
      <x:c r="C69" s="408" t="str">
        <x:v>Holdown</x:v>
      </x:c>
      <x:c r="D69" s="408" t="str">
        <x:v>Adjusted allowable</x:v>
      </x:c>
      <x:c r="E69" s="408" t="str">
        <x:v>Pall = Ppublished Cother</x:v>
      </x:c>
      <x:c r="F69" s="408" t="str">
        <x:v>Published allowable,factor</x:v>
      </x:c>
      <x:c r="G69" s="408" t="str">
        <x:v>Product/evaluation report</x:v>
      </x:c>
      <x:c r="H69" s="408" t="str">
        <x:v>Workbook formula</x:v>
      </x:c>
      <x:c r="I69" s="408" t="str">
        <x:v>Locked product arithmetic</x:v>
      </x:c>
      <x:c r="J69" s="408" t="str">
        <x:v>1E-6 lb</x:v>
      </x:c>
      <x:c r="K69" s="408" t="str">
        <x:v>ACTIVE</x:v>
      </x:c>
    </x:row>
    <x:row r="70">
      <x:c r="B70" s="408" t="str">
        <x:v>HD-002</x:v>
      </x:c>
      <x:c r="C70" s="408" t="str">
        <x:v>Holdown</x:v>
      </x:c>
      <x:c r="D70" s="408" t="str">
        <x:v>Extra rod elongation</x:v>
      </x:c>
      <x:c r="E70" s="408" t="str">
        <x:v>Δ = P Lextra / AE</x:v>
      </x:c>
      <x:c r="F70" s="408" t="str">
        <x:v>P,L,A,E</x:v>
      </x:c>
      <x:c r="G70" s="408" t="str">
        <x:v>Elastic mechanics / SRC-32 context</x:v>
      </x:c>
      <x:c r="H70" s="408" t="str">
        <x:v>Workbook formula</x:v>
      </x:c>
      <x:c r="I70" s="408" t="str">
        <x:v>Locked PL/AE benchmark</x:v>
      </x:c>
      <x:c r="J70" s="408" t="str">
        <x:v>1E-9 in</x:v>
      </x:c>
      <x:c r="K70" s="408" t="str">
        <x:v>ACTIVE</x:v>
      </x:c>
    </x:row>
    <x:row r="71">
      <x:c r="B71" s="408" t="str">
        <x:v>HD-003</x:v>
      </x:c>
      <x:c r="C71" s="408" t="str">
        <x:v>Holdown</x:v>
      </x:c>
      <x:c r="D71" s="408" t="str">
        <x:v>Deformation screen</x:v>
      </x:c>
      <x:c r="E71" s="408" t="str">
        <x:v>δest = δpublished(P/Pall,published)+Δextra</x:v>
      </x:c>
      <x:c r="F71" s="408" t="str">
        <x:v>Product deformation,demand,rod</x:v>
      </x:c>
      <x:c r="G71" s="408" t="str">
        <x:v>Product data + mechanics</x:v>
      </x:c>
      <x:c r="H71" s="408" t="str">
        <x:v>Workbook formula</x:v>
      </x:c>
      <x:c r="I71" s="408" t="str">
        <x:v>Locked benchmark</x:v>
      </x:c>
      <x:c r="J71" s="408" t="str">
        <x:v>1E-9 in</x:v>
      </x:c>
      <x:c r="K71" s="408" t="str">
        <x:v>ACTIVE</x:v>
      </x:c>
    </x:row>
    <x:row r="72">
      <x:c r="B72" s="408" t="str">
        <x:v>HD-004</x:v>
      </x:c>
      <x:c r="C72" s="408" t="str">
        <x:v>Holdown</x:v>
      </x:c>
      <x:c r="D72" s="408" t="str">
        <x:v>Longhand trace</x:v>
      </x:c>
      <x:c r="E72" s="408" t="str">
        <x:v>Demand → capacity → rod elongation → deformation</x:v>
      </x:c>
      <x:c r="F72" s="408" t="str">
        <x:v>Selected holdown</x:v>
      </x:c>
      <x:c r="G72" s="408" t="str">
        <x:v>33_LONGHAND_HD</x:v>
      </x:c>
      <x:c r="H72" s="408" t="str">
        <x:v>Workbook trace</x:v>
      </x:c>
      <x:c r="I72" s="408" t="str">
        <x:v>29_HOLDOWN comparison</x:v>
      </x:c>
      <x:c r="J72" s="408" t="str">
        <x:v>Exact</x:v>
      </x:c>
      <x:c r="K72" s="408" t="str">
        <x:v>ACTIVE</x:v>
      </x:c>
    </x:row>
    <x:row r="73">
      <x:c r="B73" s="408" t="str">
        <x:v>ANCH-001</x:v>
      </x:c>
      <x:c r="C73" s="408" t="str">
        <x:v>Anchor Line</x:v>
      </x:c>
      <x:c r="D73" s="408" t="str">
        <x:v>Total capacity</x:v>
      </x:c>
      <x:c r="E73" s="408" t="str">
        <x:v>Pall=n Psingle Cother</x:v>
      </x:c>
      <x:c r="F73" s="408" t="str">
        <x:v>single capacity,n,factor</x:v>
      </x:c>
      <x:c r="G73" s="408" t="str">
        <x:v>Approved anchor design / ESR</x:v>
      </x:c>
      <x:c r="H73" s="408" t="str">
        <x:v>Workbook formula</x:v>
      </x:c>
      <x:c r="I73" s="408" t="str">
        <x:v>Locked product arithmetic</x:v>
      </x:c>
      <x:c r="J73" s="408" t="str">
        <x:v>1E-6 lb</x:v>
      </x:c>
      <x:c r="K73" s="408" t="str">
        <x:v>ACTIVE</x:v>
      </x:c>
    </x:row>
    <x:row r="74">
      <x:c r="B74" s="408" t="str">
        <x:v>ANCH-002</x:v>
      </x:c>
      <x:c r="C74" s="408" t="str">
        <x:v>Anchor Line</x:v>
      </x:c>
      <x:c r="D74" s="408" t="str">
        <x:v>Required count</x:v>
      </x:c>
      <x:c r="E74" s="408" t="str">
        <x:v>nreq=CEILING(demand/(Psingle Cother))</x:v>
      </x:c>
      <x:c r="F74" s="408" t="str">
        <x:v>demand,single capacity</x:v>
      </x:c>
      <x:c r="G74" s="408" t="str">
        <x:v>Capacity screen</x:v>
      </x:c>
      <x:c r="H74" s="408" t="str">
        <x:v>Workbook formula</x:v>
      </x:c>
      <x:c r="I74" s="408" t="str">
        <x:v>Locked count benchmark</x:v>
      </x:c>
      <x:c r="J74" s="408" t="str">
        <x:v>Exact</x:v>
      </x:c>
      <x:c r="K74" s="408" t="str">
        <x:v>ACTIVE</x:v>
      </x:c>
    </x:row>
    <x:row r="75">
      <x:c r="B75" s="408" t="str">
        <x:v>ANCH-003</x:v>
      </x:c>
      <x:c r="C75" s="408" t="str">
        <x:v>Anchor Line</x:v>
      </x:c>
      <x:c r="D75" s="408" t="str">
        <x:v>Average spacing screen</x:v>
      </x:c>
      <x:c r="E75" s="408" t="str">
        <x:v>savg=L·12/(n−1)</x:v>
      </x:c>
      <x:c r="F75" s="408" t="str">
        <x:v>L,n</x:v>
      </x:c>
      <x:c r="G75" s="408" t="str">
        <x:v>Geometry screen</x:v>
      </x:c>
      <x:c r="H75" s="408" t="str">
        <x:v>Workbook formula</x:v>
      </x:c>
      <x:c r="I75" s="408" t="str">
        <x:v>Locked spacing benchmark</x:v>
      </x:c>
      <x:c r="J75" s="408" t="str">
        <x:v>1E-6 in</x:v>
      </x:c>
      <x:c r="K75" s="408" t="str">
        <x:v>ACTIVE</x:v>
      </x:c>
    </x:row>
    <x:row r="76">
      <x:c r="B76" s="408" t="str">
        <x:v>ANCH-004</x:v>
      </x:c>
      <x:c r="C76" s="408" t="str">
        <x:v>Anchor Line</x:v>
      </x:c>
      <x:c r="D76" s="408" t="str">
        <x:v>Longhand trace</x:v>
      </x:c>
      <x:c r="E76" s="408" t="str">
        <x:v>Demand → capacity/count → spacing → D/C</x:v>
      </x:c>
      <x:c r="F76" s="408" t="str">
        <x:v>Selected line</x:v>
      </x:c>
      <x:c r="G76" s="408" t="str">
        <x:v>34_LONGHAND_ANCHOR</x:v>
      </x:c>
      <x:c r="H76" s="408" t="str">
        <x:v>Workbook trace</x:v>
      </x:c>
      <x:c r="I76" s="408" t="str">
        <x:v>30_SILL_ANCHOR comparison</x:v>
      </x:c>
      <x:c r="J76" s="408" t="str">
        <x:v>Exact</x:v>
      </x:c>
      <x:c r="K76" s="408" t="str">
        <x:v>ACTIVE</x:v>
      </x:c>
    </x:row>
    <x:row r="77">
      <x:c r="B77" s="408" t="str">
        <x:v>COL-001</x:v>
      </x:c>
      <x:c r="C77" s="408" t="str">
        <x:v>Collector/Chord</x:v>
      </x:c>
      <x:c r="D77" s="408" t="str">
        <x:v>Member utilization</x:v>
      </x:c>
      <x:c r="E77" s="408" t="str">
        <x:v>P/(Pallow Cother)</x:v>
      </x:c>
      <x:c r="F77" s="408" t="str">
        <x:v>demand,member capacity</x:v>
      </x:c>
      <x:c r="G77" s="408" t="str">
        <x:v>NDS member design</x:v>
      </x:c>
      <x:c r="H77" s="408" t="str">
        <x:v>Workbook formula</x:v>
      </x:c>
      <x:c r="I77" s="408" t="str">
        <x:v>Locked arithmetic</x:v>
      </x:c>
      <x:c r="J77" s="408" t="str">
        <x:v>1E-9</x:v>
      </x:c>
      <x:c r="K77" s="408" t="str">
        <x:v>ACTIVE</x:v>
      </x:c>
    </x:row>
    <x:row r="78">
      <x:c r="B78" s="408" t="str">
        <x:v>COL-002</x:v>
      </x:c>
      <x:c r="C78" s="408" t="str">
        <x:v>Collector/Chord</x:v>
      </x:c>
      <x:c r="D78" s="408" t="str">
        <x:v>Connection utilization</x:v>
      </x:c>
      <x:c r="E78" s="408" t="str">
        <x:v>Psplice/(Pconn Cother)</x:v>
      </x:c>
      <x:c r="F78" s="408" t="str">
        <x:v>splice demand,connection cap</x:v>
      </x:c>
      <x:c r="G78" s="408" t="str">
        <x:v>28_CONNECTIONS / approved source</x:v>
      </x:c>
      <x:c r="H78" s="408" t="str">
        <x:v>Workbook formula</x:v>
      </x:c>
      <x:c r="I78" s="408" t="str">
        <x:v>Locked arithmetic</x:v>
      </x:c>
      <x:c r="J78" s="408" t="str">
        <x:v>1E-9</x:v>
      </x:c>
      <x:c r="K78" s="408" t="str">
        <x:v>ACTIVE</x:v>
      </x:c>
    </x:row>
    <x:row r="79">
      <x:c r="B79" s="408" t="str">
        <x:v>COL-003</x:v>
      </x:c>
      <x:c r="C79" s="408" t="str">
        <x:v>Collector/Chord</x:v>
      </x:c>
      <x:c r="D79" s="408" t="str">
        <x:v>Longhand trace</x:v>
      </x:c>
      <x:c r="E79" s="408" t="str">
        <x:v>Demand → member + splice capacities → governing D/C</x:v>
      </x:c>
      <x:c r="F79" s="408" t="str">
        <x:v>Selected collector</x:v>
      </x:c>
      <x:c r="G79" s="408" t="str">
        <x:v>35_LONGHAND_COLLECTOR</x:v>
      </x:c>
      <x:c r="H79" s="408" t="str">
        <x:v>Workbook trace</x:v>
      </x:c>
      <x:c r="I79" s="408" t="str">
        <x:v>31_COLLECTOR_CHORD comparison</x:v>
      </x:c>
      <x:c r="J79" s="408" t="str">
        <x:v>Exact</x:v>
      </x:c>
      <x:c r="K79" s="408" t="str">
        <x:v>ACTIVE</x:v>
      </x:c>
    </x:row>
    <x:row r="80">
      <x:c r="B80" s="408" t="str">
        <x:v>FDN-001</x:v>
      </x:c>
      <x:c r="C80" s="408" t="str">
        <x:v>Foundation</x:v>
      </x:c>
      <x:c r="D80" s="408" t="str">
        <x:v>Footing area/self-weight</x:v>
      </x:c>
      <x:c r="E80" s="408" t="str">
        <x:v>A=BL; Wf=BLtγ</x:v>
      </x:c>
      <x:c r="F80" s="408" t="str">
        <x:v>B,L,t,γ</x:v>
      </x:c>
      <x:c r="G80" s="408" t="str">
        <x:v>Mechanics</x:v>
      </x:c>
      <x:c r="H80" s="408" t="str">
        <x:v>Workbook formula</x:v>
      </x:c>
      <x:c r="I80" s="408" t="str">
        <x:v>Locked benchmark</x:v>
      </x:c>
      <x:c r="J80" s="408" t="str">
        <x:v>1E-9</x:v>
      </x:c>
      <x:c r="K80" s="408" t="str">
        <x:v>ACTIVE</x:v>
      </x:c>
    </x:row>
    <x:row r="81">
      <x:c r="B81" s="408" t="str">
        <x:v>FDN-002</x:v>
      </x:c>
      <x:c r="C81" s="408" t="str">
        <x:v>Foundation</x:v>
      </x:c>
      <x:c r="D81" s="408" t="str">
        <x:v>Eccentricity / contact</x:v>
      </x:c>
      <x:c r="E81" s="408" t="str">
        <x:v>e=|M|/P; full contact if e≤B/6</x:v>
      </x:c>
      <x:c r="F81" s="408" t="str">
        <x:v>P,M,B</x:v>
      </x:c>
      <x:c r="G81" s="408" t="str">
        <x:v>Service statics</x:v>
      </x:c>
      <x:c r="H81" s="408" t="str">
        <x:v>Workbook formula</x:v>
      </x:c>
      <x:c r="I81" s="408" t="str">
        <x:v>Locked benchmark</x:v>
      </x:c>
      <x:c r="J81" s="408" t="str">
        <x:v>1E-9</x:v>
      </x:c>
      <x:c r="K81" s="408" t="str">
        <x:v>ACTIVE</x:v>
      </x:c>
    </x:row>
    <x:row r="82">
      <x:c r="B82" s="408" t="str">
        <x:v>FDN-003</x:v>
      </x:c>
      <x:c r="C82" s="408" t="str">
        <x:v>Foundation</x:v>
      </x:c>
      <x:c r="D82" s="408" t="str">
        <x:v>Full-contact soil pressure</x:v>
      </x:c>
      <x:c r="E82" s="408" t="str">
        <x:v>qmax/min=qavg(1±6e/B)</x:v>
      </x:c>
      <x:c r="F82" s="408" t="str">
        <x:v>P,B,L,e</x:v>
      </x:c>
      <x:c r="G82" s="408" t="str">
        <x:v>Service statics</x:v>
      </x:c>
      <x:c r="H82" s="408" t="str">
        <x:v>Workbook formula</x:v>
      </x:c>
      <x:c r="I82" s="408" t="str">
        <x:v>Locked benchmark</x:v>
      </x:c>
      <x:c r="J82" s="408" t="str">
        <x:v>1E-9 ksf</x:v>
      </x:c>
      <x:c r="K82" s="408" t="str">
        <x:v>ACTIVE</x:v>
      </x:c>
    </x:row>
    <x:row r="83">
      <x:c r="B83" s="408" t="str">
        <x:v>FDN-004</x:v>
      </x:c>
      <x:c r="C83" s="408" t="str">
        <x:v>Foundation</x:v>
      </x:c>
      <x:c r="D83" s="408" t="str">
        <x:v>Bearing utilization</x:v>
      </x:c>
      <x:c r="E83" s="408" t="str">
        <x:v>D/C=qmax/qallow</x:v>
      </x:c>
      <x:c r="F83" s="408" t="str">
        <x:v>qmax,qallow</x:v>
      </x:c>
      <x:c r="G83" s="408" t="str">
        <x:v>Geotechnical/CBC basis</x:v>
      </x:c>
      <x:c r="H83" s="408" t="str">
        <x:v>Workbook formula</x:v>
      </x:c>
      <x:c r="I83" s="408" t="str">
        <x:v>Independent ratio</x:v>
      </x:c>
      <x:c r="J83" s="408" t="str">
        <x:v>1E-9</x:v>
      </x:c>
      <x:c r="K83" s="408" t="str">
        <x:v>ACTIVE</x:v>
      </x:c>
    </x:row>
    <x:row r="84">
      <x:c r="B84" s="408" t="str">
        <x:v>FDN-005</x:v>
      </x:c>
      <x:c r="C84" s="408" t="str">
        <x:v>Foundation</x:v>
      </x:c>
      <x:c r="D84" s="408" t="str">
        <x:v>Sliding screen</x:v>
      </x:c>
      <x:c r="E84" s="408" t="str">
        <x:v>FS=(μP+Rother)/H</x:v>
      </x:c>
      <x:c r="F84" s="408" t="str">
        <x:v>μ,P,H,permitted resistance</x:v>
      </x:c>
      <x:c r="G84" s="408" t="str">
        <x:v>Geotechnical/service stability</x:v>
      </x:c>
      <x:c r="H84" s="408" t="str">
        <x:v>Workbook formula</x:v>
      </x:c>
      <x:c r="I84" s="408" t="str">
        <x:v>Locked benchmark</x:v>
      </x:c>
      <x:c r="J84" s="408" t="str">
        <x:v>1E-9</x:v>
      </x:c>
      <x:c r="K84" s="408" t="str">
        <x:v>ACTIVE</x:v>
      </x:c>
    </x:row>
    <x:row r="85">
      <x:c r="B85" s="408" t="str">
        <x:v>FDN-006</x:v>
      </x:c>
      <x:c r="C85" s="408" t="str">
        <x:v>Foundation</x:v>
      </x:c>
      <x:c r="D85" s="408" t="str">
        <x:v>Overturning screen</x:v>
      </x:c>
      <x:c r="E85" s="408" t="str">
        <x:v>FS=P(B/2)/|M|</x:v>
      </x:c>
      <x:c r="F85" s="408" t="str">
        <x:v>P,B,M</x:v>
      </x:c>
      <x:c r="G85" s="408" t="str">
        <x:v>Service statics</x:v>
      </x:c>
      <x:c r="H85" s="408" t="str">
        <x:v>Workbook formula</x:v>
      </x:c>
      <x:c r="I85" s="408" t="str">
        <x:v>Locked benchmark</x:v>
      </x:c>
      <x:c r="J85" s="408" t="str">
        <x:v>1E-9</x:v>
      </x:c>
      <x:c r="K85" s="408" t="str">
        <x:v>ACTIVE</x:v>
      </x:c>
    </x:row>
    <x:row r="86">
      <x:c r="B86" s="408" t="str">
        <x:v>FDN-007</x:v>
      </x:c>
      <x:c r="C86" s="408" t="str">
        <x:v>Foundation</x:v>
      </x:c>
      <x:c r="D86" s="408" t="str">
        <x:v>Concrete design interface</x:v>
      </x:c>
      <x:c r="E86" s="408" t="str">
        <x:v>Source-controlled project concrete design / review</x:v>
      </x:c>
      <x:c r="F86" s="408" t="str">
        <x:v>f'c,fy,source,status</x:v>
      </x:c>
      <x:c r="G86" s="408" t="str">
        <x:v>CBC Ch.19 / ACI 318 source</x:v>
      </x:c>
      <x:c r="H86" s="408" t="str">
        <x:v>Review gate</x:v>
      </x:c>
      <x:c r="I86" s="408" t="str">
        <x:v>Source record</x:v>
      </x:c>
      <x:c r="J86" s="408" t="str">
        <x:v>N/A</x:v>
      </x:c>
      <x:c r="K86" s="408" t="str">
        <x:v>ACTIVE</x:v>
      </x:c>
    </x:row>
    <x:row r="87">
      <x:c r="B87" s="408" t="str">
        <x:v>FDN-008</x:v>
      </x:c>
      <x:c r="C87" s="408" t="str">
        <x:v>Foundation</x:v>
      </x:c>
      <x:c r="D87" s="408" t="str">
        <x:v>Longhand trace</x:v>
      </x:c>
      <x:c r="E87" s="408" t="str">
        <x:v>Geometry → weight → e → q → stability</x:v>
      </x:c>
      <x:c r="F87" s="408" t="str">
        <x:v>Selected footing</x:v>
      </x:c>
      <x:c r="G87" s="408" t="str">
        <x:v>37_LONGHAND_FOUNDATION</x:v>
      </x:c>
      <x:c r="H87" s="408" t="str">
        <x:v>Workbook trace</x:v>
      </x:c>
      <x:c r="I87" s="408" t="str">
        <x:v>36_FOUNDATION comparison</x:v>
      </x:c>
      <x:c r="J87" s="408" t="str">
        <x:v>Exact</x:v>
      </x:c>
      <x:c r="K87" s="408" t="str">
        <x:v>ACTIVE</x:v>
      </x:c>
    </x:row>
  </x:sheetData>
  <x:mergeCells>
    <x:mergeCell ref="B2:K2"/>
  </x:mergeCells>
  <x:pageMargins left="0.7" right="0.7" top="0.75" bottom="0.75" header="0.3" footer="0.3"/>
</x:worksheet>
</file>

<file path=xl/worksheets/sheet14.xml><?xml version="1.0" encoding="utf-8"?>
<x:worksheet xmlns:x="http://schemas.openxmlformats.org/spreadsheetml/2006/main">
  <x:sheetFormatPr defaultRowHeight="15"/>
  <x:cols>
    <x:col min="2" max="2" width="8" hidden="0" customWidth="1"/>
    <x:col min="3" max="3" width="24" hidden="0" customWidth="1"/>
    <x:col min="4" max="4" width="32" hidden="0" customWidth="1"/>
    <x:col min="5" max="5" width="16" hidden="0" customWidth="1"/>
    <x:col min="6" max="6" width="12" hidden="0" customWidth="1"/>
    <x:col min="7" max="7" width="30" hidden="0" customWidth="1"/>
    <x:col min="8" max="8" width="18" hidden="0" customWidth="1"/>
  </x:cols>
  <x:sheetData>
    <x:row r="2">
      <x:c r="B2" s="134" t="str">
        <x:v>LONGHAND CALCULATION — GRAVITY / SIMPLE BEAM</x:v>
      </x:c>
      <x:c r="C2" s="134"/>
      <x:c r="D2" s="134"/>
      <x:c r="E2" s="134"/>
      <x:c r="F2" s="134"/>
      <x:c r="G2" s="134"/>
      <x:c r="H2" s="134"/>
    </x:row>
    <x:row r="4">
      <x:c r="B4" s="140" t="str">
        <x:v>Purpose: printable audit trail showing variable definition, equation, substitution path, result, units, source, and independent-check status.</x:v>
      </x:c>
      <x:c r="C4" s="140"/>
      <x:c r="D4" s="140"/>
      <x:c r="E4" s="140"/>
      <x:c r="F4" s="140"/>
      <x:c r="G4" s="140"/>
      <x:c r="H4" s="140"/>
    </x:row>
    <x:row r="5">
      <x:c r="B5" s="140"/>
      <x:c r="C5" s="140"/>
      <x:c r="D5" s="140"/>
      <x:c r="E5" s="140"/>
      <x:c r="F5" s="140"/>
      <x:c r="G5" s="140"/>
      <x:c r="H5" s="140"/>
    </x:row>
    <x:row r="6">
      <x:c r="B6" s="141" t="str">
        <x:v>Step</x:v>
      </x:c>
      <x:c r="C6" s="141" t="str">
        <x:v>Quantity</x:v>
      </x:c>
      <x:c r="D6" s="141" t="str">
        <x:v>Equation</x:v>
      </x:c>
      <x:c r="E6" s="141" t="str">
        <x:v>Workbook Result</x:v>
      </x:c>
      <x:c r="F6" s="141" t="str">
        <x:v>Unit</x:v>
      </x:c>
      <x:c r="G6" s="141" t="str">
        <x:v>Source / Basis</x:v>
      </x:c>
      <x:c r="H6" s="141" t="str">
        <x:v>Verification</x:v>
      </x:c>
    </x:row>
    <x:row r="7">
      <x:c r="B7" s="142" t="n">
        <x:v>1</x:v>
      </x:c>
      <x:c r="C7" s="142" t="str">
        <x:v>Section inertia I</x:v>
      </x:c>
      <x:c r="D7" s="142" t="str">
        <x:v>I = b·d³/12</x:v>
      </x:c>
      <x:c r="E7" s="149" t="str">
        <x:f>'03_GRAVITY'!C20</x:f>
      </x:c>
      <x:c r="F7" s="142" t="str">
        <x:v>in⁴</x:v>
      </x:c>
      <x:c r="G7" s="142" t="str">
        <x:v>Geometry / elastic beam theory</x:v>
      </x:c>
      <x:c r="H7" s="149" t="n">
        <x:f>'03_GRAVITY'!I20</x:f>
        <x:v>0</x:v>
      </x:c>
    </x:row>
    <x:row r="8">
      <x:c r="B8" s="142" t="n">
        <x:v>2</x:v>
      </x:c>
      <x:c r="C8" s="142" t="str">
        <x:v>Dead line load wD</x:v>
      </x:c>
      <x:c r="D8" s="142" t="str">
        <x:v>wD = qD × tributary width</x:v>
      </x:c>
      <x:c r="E8" s="149" t="str">
        <x:f>'03_GRAVITY'!C21</x:f>
      </x:c>
      <x:c r="F8" s="142" t="str">
        <x:v>plf</x:v>
      </x:c>
      <x:c r="G8" s="142" t="str">
        <x:v>Load path</x:v>
      </x:c>
      <x:c r="H8" s="149" t="n">
        <x:f>'03_GRAVITY'!I21</x:f>
        <x:v>0</x:v>
      </x:c>
    </x:row>
    <x:row r="9">
      <x:c r="B9" s="142" t="n">
        <x:v>3</x:v>
      </x:c>
      <x:c r="C9" s="142" t="str">
        <x:v>Live line load wL</x:v>
      </x:c>
      <x:c r="D9" s="142" t="str">
        <x:v>wL = qL × tributary width</x:v>
      </x:c>
      <x:c r="E9" s="149" t="str">
        <x:f>'03_GRAVITY'!C22</x:f>
      </x:c>
      <x:c r="F9" s="142" t="str">
        <x:v>plf</x:v>
      </x:c>
      <x:c r="G9" s="142" t="str">
        <x:v>Load path</x:v>
      </x:c>
      <x:c r="H9" s="149" t="n">
        <x:f>'03_GRAVITY'!I22</x:f>
        <x:v>0</x:v>
      </x:c>
    </x:row>
    <x:row r="10">
      <x:c r="B10" s="142" t="n">
        <x:v>4</x:v>
      </x:c>
      <x:c r="C10" s="142" t="str">
        <x:v>Total line load w</x:v>
      </x:c>
      <x:c r="D10" s="142" t="str">
        <x:v>w = wD + wL</x:v>
      </x:c>
      <x:c r="E10" s="149" t="str">
        <x:f>'03_GRAVITY'!C23</x:f>
      </x:c>
      <x:c r="F10" s="142" t="str">
        <x:v>plf</x:v>
      </x:c>
      <x:c r="G10" s="142" t="str">
        <x:v>Superposition</x:v>
      </x:c>
      <x:c r="H10" s="149" t="n">
        <x:f>'03_GRAVITY'!I23</x:f>
        <x:v>0</x:v>
      </x:c>
    </x:row>
    <x:row r="11">
      <x:c r="B11" s="142" t="n">
        <x:v>5</x:v>
      </x:c>
      <x:c r="C11" s="142" t="str">
        <x:v>Total applied load W</x:v>
      </x:c>
      <x:c r="D11" s="142" t="str">
        <x:v>W = wL</x:v>
      </x:c>
      <x:c r="E11" s="149" t="str">
        <x:f>'03_GRAVITY'!C24</x:f>
      </x:c>
      <x:c r="F11" s="142" t="str">
        <x:v>lb</x:v>
      </x:c>
      <x:c r="G11" s="142" t="str">
        <x:v>Statics</x:v>
      </x:c>
      <x:c r="H11" s="149" t="n">
        <x:f>'03_GRAVITY'!I24</x:f>
        <x:v>0</x:v>
      </x:c>
    </x:row>
    <x:row r="12">
      <x:c r="B12" s="142" t="n">
        <x:v>6</x:v>
      </x:c>
      <x:c r="C12" s="142" t="str">
        <x:v>End reaction R</x:v>
      </x:c>
      <x:c r="D12" s="142" t="str">
        <x:v>R = W/2</x:v>
      </x:c>
      <x:c r="E12" s="149" t="str">
        <x:f>'03_GRAVITY'!C25</x:f>
      </x:c>
      <x:c r="F12" s="142" t="str">
        <x:v>lb</x:v>
      </x:c>
      <x:c r="G12" s="142" t="str">
        <x:v>Statics equilibrium</x:v>
      </x:c>
      <x:c r="H12" s="149" t="n">
        <x:f>'03_GRAVITY'!I25</x:f>
        <x:v>0</x:v>
      </x:c>
    </x:row>
    <x:row r="13">
      <x:c r="B13" s="142" t="n">
        <x:v>7</x:v>
      </x:c>
      <x:c r="C13" s="142" t="str">
        <x:v>Maximum moment Mmax</x:v>
      </x:c>
      <x:c r="D13" s="142" t="str">
        <x:v>Mmax = wL²/8</x:v>
      </x:c>
      <x:c r="E13" s="149" t="str">
        <x:f>'03_GRAVITY'!C26</x:f>
      </x:c>
      <x:c r="F13" s="142" t="str">
        <x:v>ft-lb</x:v>
      </x:c>
      <x:c r="G13" s="142" t="str">
        <x:v>Statics / simple beam</x:v>
      </x:c>
      <x:c r="H13" s="149" t="n">
        <x:f>'03_GRAVITY'!I26</x:f>
        <x:v>0</x:v>
      </x:c>
    </x:row>
    <x:row r="14">
      <x:c r="B14" s="142" t="n">
        <x:v>8</x:v>
      </x:c>
      <x:c r="C14" s="142" t="str">
        <x:v>Maximum deflection Δ</x:v>
      </x:c>
      <x:c r="D14" s="142" t="str">
        <x:v>Δ = 5wL⁴/(384EI)</x:v>
      </x:c>
      <x:c r="E14" s="149" t="str">
        <x:f>'03_GRAVITY'!C27</x:f>
      </x:c>
      <x:c r="F14" s="142" t="str">
        <x:v>in</x:v>
      </x:c>
      <x:c r="G14" s="142" t="str">
        <x:v>Elastic beam theory</x:v>
      </x:c>
      <x:c r="H14" s="149" t="n">
        <x:f>'03_GRAVITY'!I27</x:f>
        <x:v>0</x:v>
      </x:c>
    </x:row>
    <x:row r="15">
      <x:c r="B15" s="142" t="n">
        <x:v>9</x:v>
      </x:c>
      <x:c r="C15" s="142" t="str">
        <x:v>Span / deflection</x:v>
      </x:c>
      <x:c r="D15" s="142" t="str">
        <x:v>L/Δ</x:v>
      </x:c>
      <x:c r="E15" s="149" t="n">
        <x:f>'03_GRAVITY'!C28</x:f>
        <x:v>0</x:v>
      </x:c>
      <x:c r="F15" s="142" t="str">
        <x:v>L/x</x:v>
      </x:c>
      <x:c r="G15" s="142" t="str">
        <x:v>Serviceability metric</x:v>
      </x:c>
      <x:c r="H15" s="149" t="n">
        <x:f>'03_GRAVITY'!I28</x:f>
        <x:v>0</x:v>
      </x:c>
    </x:row>
    <x:row r="16">
      <x:c r="B16" s="142"/>
      <x:c r="C16" s="142"/>
      <x:c r="D16" s="142"/>
      <x:c r="E16" s="142"/>
      <x:c r="F16" s="142"/>
      <x:c r="G16" s="142"/>
      <x:c r="H16" s="142"/>
    </x:row>
    <x:row r="17">
      <x:c r="B17" s="150" t="str">
        <x:v>INPUT SUBSTITUTION RECORD</x:v>
      </x:c>
      <x:c r="C17" s="150"/>
      <x:c r="D17" s="150"/>
      <x:c r="E17" s="150"/>
      <x:c r="F17" s="150"/>
      <x:c r="G17" s="150"/>
      <x:c r="H17" s="150"/>
    </x:row>
    <x:row r="18">
      <x:c r="B18" s="141" t="str">
        <x:v>Variable</x:v>
      </x:c>
      <x:c r="C18" s="141" t="str">
        <x:v>Meaning</x:v>
      </x:c>
      <x:c r="D18" s="141" t="str">
        <x:v>Value</x:v>
      </x:c>
      <x:c r="E18" s="141" t="str">
        <x:v>Unit</x:v>
      </x:c>
      <x:c r="F18" s="141" t="str">
        <x:v>Workbook Source</x:v>
      </x:c>
      <x:c r="G18" s="141" t="str">
        <x:v>Origin Class</x:v>
      </x:c>
      <x:c r="H18" s="141" t="str">
        <x:v>Notes</x:v>
      </x:c>
    </x:row>
    <x:row r="19">
      <x:c r="B19" s="142" t="str">
        <x:v>L</x:v>
      </x:c>
      <x:c r="C19" s="142" t="str">
        <x:v>Span</x:v>
      </x:c>
      <x:c r="D19" s="142" t="str">
        <x:f>'03_GRAVITY'!C10</x:f>
      </x:c>
      <x:c r="E19" s="142" t="str">
        <x:v>ft</x:v>
      </x:c>
      <x:c r="F19" s="142" t="str">
        <x:v>01_INPUTS!C30</x:v>
      </x:c>
      <x:c r="G19" s="142" t="str">
        <x:v>Project</x:v>
      </x:c>
      <x:c r="H19" s="142" t="str"/>
    </x:row>
    <x:row r="20">
      <x:c r="B20" s="142" t="str">
        <x:v>trib</x:v>
      </x:c>
      <x:c r="C20" s="142" t="str">
        <x:v>Tributary width</x:v>
      </x:c>
      <x:c r="D20" s="142" t="str">
        <x:f>'03_GRAVITY'!C11</x:f>
      </x:c>
      <x:c r="E20" s="142" t="str">
        <x:v>ft</x:v>
      </x:c>
      <x:c r="F20" s="142" t="str">
        <x:v>01_INPUTS!C31</x:v>
      </x:c>
      <x:c r="G20" s="142" t="str">
        <x:v>Project / geometry</x:v>
      </x:c>
      <x:c r="H20" s="142" t="str"/>
    </x:row>
    <x:row r="21">
      <x:c r="B21" s="142" t="str">
        <x:v>qD</x:v>
      </x:c>
      <x:c r="C21" s="142" t="str">
        <x:v>Dead area load</x:v>
      </x:c>
      <x:c r="D21" s="142" t="str">
        <x:f>'03_GRAVITY'!C12</x:f>
      </x:c>
      <x:c r="E21" s="142" t="str">
        <x:v>psf</x:v>
      </x:c>
      <x:c r="F21" s="142" t="str">
        <x:v>01_INPUTS!C37 or C39</x:v>
      </x:c>
      <x:c r="G21" s="142" t="str">
        <x:v>Code/project</x:v>
      </x:c>
      <x:c r="H21" s="142" t="str"/>
    </x:row>
    <x:row r="22">
      <x:c r="B22" s="142" t="str">
        <x:v>qL</x:v>
      </x:c>
      <x:c r="C22" s="142" t="str">
        <x:v>Live area load</x:v>
      </x:c>
      <x:c r="D22" s="142" t="str">
        <x:f>'03_GRAVITY'!C13</x:f>
      </x:c>
      <x:c r="E22" s="142" t="str">
        <x:v>psf</x:v>
      </x:c>
      <x:c r="F22" s="142" t="str">
        <x:v>01_INPUTS!C38 or C40</x:v>
      </x:c>
      <x:c r="G22" s="142" t="str">
        <x:v>Code/table</x:v>
      </x:c>
      <x:c r="H22" s="142" t="str"/>
    </x:row>
    <x:row r="23">
      <x:c r="B23" s="142" t="str">
        <x:v>b</x:v>
      </x:c>
      <x:c r="C23" s="142" t="str">
        <x:v>Actual width</x:v>
      </x:c>
      <x:c r="D23" s="142" t="str">
        <x:f>'03_GRAVITY'!C14</x:f>
      </x:c>
      <x:c r="E23" s="142" t="str">
        <x:v>in</x:v>
      </x:c>
      <x:c r="F23" s="142" t="str">
        <x:v>01_INPUTS!C32</x:v>
      </x:c>
      <x:c r="G23" s="142" t="str">
        <x:v>Project/material</x:v>
      </x:c>
      <x:c r="H23" s="142" t="str"/>
    </x:row>
    <x:row r="24">
      <x:c r="B24" s="142" t="str">
        <x:v>d</x:v>
      </x:c>
      <x:c r="C24" s="142" t="str">
        <x:v>Actual depth</x:v>
      </x:c>
      <x:c r="D24" s="142" t="str">
        <x:f>'03_GRAVITY'!C15</x:f>
      </x:c>
      <x:c r="E24" s="142" t="str">
        <x:v>in</x:v>
      </x:c>
      <x:c r="F24" s="142" t="str">
        <x:v>01_INPUTS!C33</x:v>
      </x:c>
      <x:c r="G24" s="142" t="str">
        <x:v>Project/material</x:v>
      </x:c>
      <x:c r="H24" s="142" t="str"/>
    </x:row>
    <x:row r="25">
      <x:c r="B25" s="142" t="str">
        <x:v>E</x:v>
      </x:c>
      <x:c r="C25" s="142" t="str">
        <x:v>Modulus of elasticity</x:v>
      </x:c>
      <x:c r="D25" s="142" t="n">
        <x:f>'03_GRAVITY'!C16</x:f>
        <x:v>0</x:v>
      </x:c>
      <x:c r="E25" s="142" t="str">
        <x:v>psi</x:v>
      </x:c>
      <x:c r="F25" s="142" t="str">
        <x:v>01_INPUTS!C60</x:v>
      </x:c>
      <x:c r="G25" s="142" t="str">
        <x:v>Code/table or manufacturer</x:v>
      </x:c>
      <x:c r="H25" s="142" t="str"/>
    </x:row>
  </x:sheetData>
  <x:mergeCells>
    <x:mergeCell ref="B2:H2"/>
    <x:mergeCell ref="B4:H4"/>
    <x:mergeCell ref="B17:H17"/>
  </x:mergeCells>
  <x:pageMargins left="0.7" right="0.7" top="0.75" bottom="0.75" header="0.3" footer="0.3"/>
</x:worksheet>
</file>

<file path=xl/worksheets/sheet15.xml><?xml version="1.0" encoding="utf-8"?>
<x:worksheet xmlns:x="http://schemas.openxmlformats.org/spreadsheetml/2006/main">
  <x:sheetFormatPr defaultRowHeight="15"/>
  <x:cols>
    <x:col min="2" max="2" width="16" hidden="0" customWidth="1"/>
    <x:col min="3" max="3" width="24" hidden="0" customWidth="1"/>
    <x:col min="4" max="4" width="14" hidden="0" customWidth="1"/>
    <x:col min="5" max="5" width="30" hidden="0" customWidth="1"/>
    <x:col min="6" max="6" width="15" hidden="0" customWidth="1"/>
    <x:col min="7" max="7" width="20" hidden="0" customWidth="1"/>
    <x:col min="8" max="8" width="20" hidden="0" customWidth="1"/>
    <x:col min="9" max="9" width="16" hidden="0" customWidth="1"/>
    <x:col min="10" max="10" width="16" hidden="0" customWidth="1"/>
  </x:cols>
  <x:sheetData>
    <x:row r="2">
      <x:c r="B2" s="134" t="str">
        <x:v>CONTROLLED CAD OUTPUT — STABLE INTERFACE FOR AUTOCAD</x:v>
      </x:c>
      <x:c r="C2" s="134"/>
      <x:c r="D2" s="134"/>
      <x:c r="E2" s="134"/>
      <x:c r="F2" s="134"/>
      <x:c r="G2" s="134"/>
      <x:c r="H2" s="134"/>
      <x:c r="I2" s="134"/>
      <x:c r="J2" s="134"/>
    </x:row>
    <x:row r="4">
      <x:c r="B4" s="140" t="str">
        <x:v>Only this sheet should be consumed by AutoCAD/exports. Calculation sheets may evolve without breaking drawing schedules.</x:v>
      </x:c>
      <x:c r="C4" s="140"/>
      <x:c r="D4" s="140"/>
      <x:c r="E4" s="140"/>
      <x:c r="F4" s="140"/>
      <x:c r="G4" s="140"/>
      <x:c r="H4" s="140"/>
      <x:c r="I4" s="140"/>
      <x:c r="J4" s="140"/>
    </x:row>
    <x:row r="5">
      <x:c r="B5" s="140"/>
      <x:c r="C5" s="140"/>
      <x:c r="D5" s="140"/>
      <x:c r="E5" s="140"/>
      <x:c r="F5" s="140"/>
      <x:c r="G5" s="140"/>
      <x:c r="H5" s="140"/>
      <x:c r="I5" s="140"/>
      <x:c r="J5" s="140"/>
    </x:row>
    <x:row r="6">
      <x:c r="B6" s="151" t="str">
        <x:v>S1_DESIGN_CRITERIA</x:v>
      </x:c>
      <x:c r="C6" s="151"/>
      <x:c r="D6" s="151"/>
      <x:c r="E6" s="151"/>
      <x:c r="F6" s="151"/>
      <x:c r="G6" s="140"/>
      <x:c r="H6" s="140"/>
      <x:c r="I6" s="140"/>
      <x:c r="J6" s="140"/>
    </x:row>
    <x:row r="7">
      <x:c r="B7" s="141" t="str">
        <x:v>Parameter</x:v>
      </x:c>
      <x:c r="C7" s="141" t="str">
        <x:v>Value</x:v>
      </x:c>
      <x:c r="D7" s="141" t="str">
        <x:v>Unit</x:v>
      </x:c>
      <x:c r="E7" s="141" t="str">
        <x:v>Reference</x:v>
      </x:c>
      <x:c r="F7" s="141" t="str">
        <x:v>Status</x:v>
      </x:c>
      <x:c r="G7" s="142"/>
      <x:c r="H7" s="142"/>
      <x:c r="I7" s="142"/>
      <x:c r="J7" s="142"/>
    </x:row>
    <x:row r="8">
      <x:c r="B8" s="142" t="str">
        <x:v>Risk Category</x:v>
      </x:c>
      <x:c r="C8" s="142" t="n">
        <x:f>'02_CRITERIA'!C17</x:f>
        <x:v>0</x:v>
      </x:c>
      <x:c r="D8" s="142" t="str"/>
      <x:c r="E8" s="142" t="str">
        <x:f>'02_CRITERIA'!G17</x:f>
        <x:v>ASCE 7-22 / CBC</x:v>
      </x:c>
      <x:c r="F8" s="142" t="str">
        <x:f>'02_CRITERIA'!F17</x:f>
        <x:v>MISSING</x:v>
      </x:c>
      <x:c r="G8" s="142"/>
      <x:c r="H8" s="142"/>
      <x:c r="I8" s="142"/>
      <x:c r="J8" s="142"/>
    </x:row>
    <x:row r="9">
      <x:c r="B9" s="142" t="str">
        <x:v>Design Method</x:v>
      </x:c>
      <x:c r="C9" s="142" t="n">
        <x:f>'02_CRITERIA'!C18</x:f>
        <x:v>0</x:v>
      </x:c>
      <x:c r="D9" s="142" t="str"/>
      <x:c r="E9" s="142" t="str">
        <x:f>'02_CRITERIA'!G18</x:f>
        <x:v>NDS / SDPWS</x:v>
      </x:c>
      <x:c r="F9" s="142" t="str">
        <x:f>'02_CRITERIA'!F18</x:f>
        <x:v>MISSING</x:v>
      </x:c>
      <x:c r="G9" s="142"/>
      <x:c r="H9" s="142"/>
      <x:c r="I9" s="142"/>
      <x:c r="J9" s="142"/>
    </x:row>
    <x:row r="10">
      <x:c r="B10" s="142" t="str">
        <x:v>Site Class</x:v>
      </x:c>
      <x:c r="C10" s="142" t="str">
        <x:f>'02_CRITERIA'!C19</x:f>
      </x:c>
      <x:c r="D10" s="142" t="str"/>
      <x:c r="E10" s="142" t="str">
        <x:f>'02_CRITERIA'!G19</x:f>
        <x:v>ASCE 7-22 Ch. 20</x:v>
      </x:c>
      <x:c r="F10" s="142" t="str">
        <x:f>'02_CRITERIA'!F19</x:f>
        <x:v>MISSING</x:v>
      </x:c>
      <x:c r="G10" s="142"/>
      <x:c r="H10" s="142"/>
      <x:c r="I10" s="142"/>
      <x:c r="J10" s="142"/>
    </x:row>
    <x:row r="11">
      <x:c r="B11" s="142" t="str">
        <x:v>Basic Wind Speed Vult</x:v>
      </x:c>
      <x:c r="C11" s="142" t="n">
        <x:f>'02_CRITERIA'!C20</x:f>
        <x:v>0</x:v>
      </x:c>
      <x:c r="D11" s="142" t="str">
        <x:v>mph</x:v>
      </x:c>
      <x:c r="E11" s="142" t="str">
        <x:f>'02_CRITERIA'!G20</x:f>
        <x:v>ASCE 7-22</x:v>
      </x:c>
      <x:c r="F11" s="142" t="str">
        <x:f>'02_CRITERIA'!F20</x:f>
        <x:v>MISSING</x:v>
      </x:c>
      <x:c r="G11" s="142"/>
      <x:c r="H11" s="142"/>
      <x:c r="I11" s="142"/>
      <x:c r="J11" s="142"/>
    </x:row>
    <x:row r="12">
      <x:c r="B12" s="142" t="str">
        <x:v>Exposure Category</x:v>
      </x:c>
      <x:c r="C12" s="142" t="str">
        <x:f>'02_CRITERIA'!C21</x:f>
      </x:c>
      <x:c r="D12" s="142" t="str"/>
      <x:c r="E12" s="142" t="str">
        <x:f>'02_CRITERIA'!G21</x:f>
        <x:v>ASCE 7-22</x:v>
      </x:c>
      <x:c r="F12" s="142" t="str">
        <x:f>'02_CRITERIA'!F21</x:f>
        <x:v>MISSING</x:v>
      </x:c>
      <x:c r="G12" s="142"/>
      <x:c r="H12" s="142"/>
      <x:c r="I12" s="142"/>
      <x:c r="J12" s="142"/>
    </x:row>
    <x:row r="13">
      <x:c r="B13" s="142" t="str">
        <x:v>SDS</x:v>
      </x:c>
      <x:c r="C13" s="142" t="str">
        <x:f>'02_CRITERIA'!C22</x:f>
      </x:c>
      <x:c r="D13" s="142" t="str">
        <x:v>g</x:v>
      </x:c>
      <x:c r="E13" s="142" t="str">
        <x:f>'02_CRITERIA'!G22</x:f>
        <x:v>ASCE 7-22</x:v>
      </x:c>
      <x:c r="F13" s="142" t="str">
        <x:f>'02_CRITERIA'!F22</x:f>
        <x:v>MISSING</x:v>
      </x:c>
      <x:c r="G13" s="142"/>
      <x:c r="H13" s="142"/>
      <x:c r="I13" s="142"/>
      <x:c r="J13" s="142"/>
    </x:row>
    <x:row r="14">
      <x:c r="B14" s="142" t="str">
        <x:v>SD1</x:v>
      </x:c>
      <x:c r="C14" s="142" t="n">
        <x:f>'02_CRITERIA'!C23</x:f>
        <x:v>0</x:v>
      </x:c>
      <x:c r="D14" s="142" t="str">
        <x:v>g</x:v>
      </x:c>
      <x:c r="E14" s="142" t="str">
        <x:f>'02_CRITERIA'!G23</x:f>
        <x:v>ASCE 7-22</x:v>
      </x:c>
      <x:c r="F14" s="142" t="str">
        <x:f>'02_CRITERIA'!F23</x:f>
        <x:v>MISSING</x:v>
      </x:c>
      <x:c r="G14" s="142"/>
      <x:c r="H14" s="142"/>
      <x:c r="I14" s="142"/>
      <x:c r="J14" s="142"/>
    </x:row>
    <x:row r="15">
      <x:c r="B15" s="142" t="str">
        <x:v>Seismic Design Category</x:v>
      </x:c>
      <x:c r="C15" s="142" t="str">
        <x:f>'02_CRITERIA'!C24</x:f>
      </x:c>
      <x:c r="D15" s="142" t="str"/>
      <x:c r="E15" s="142" t="str">
        <x:f>'02_CRITERIA'!G24</x:f>
        <x:v>ASCE 7-22 / CBC</x:v>
      </x:c>
      <x:c r="F15" s="142" t="str">
        <x:f>'02_CRITERIA'!F24</x:f>
        <x:v>MISSING</x:v>
      </x:c>
      <x:c r="G15" s="142"/>
      <x:c r="H15" s="142"/>
      <x:c r="I15" s="142"/>
      <x:c r="J15" s="142"/>
    </x:row>
    <x:row r="16">
      <x:c r="B16" s="142" t="str">
        <x:v>Ground Snow Load pg</x:v>
      </x:c>
      <x:c r="C16" s="142" t="n">
        <x:f>'02_CRITERIA'!C25</x:f>
        <x:v>0</x:v>
      </x:c>
      <x:c r="D16" s="142" t="str">
        <x:v>psf</x:v>
      </x:c>
      <x:c r="E16" s="142" t="str">
        <x:f>'02_CRITERIA'!G25</x:f>
        <x:v>ASCE 7-22 / local criteria</x:v>
      </x:c>
      <x:c r="F16" s="142" t="str">
        <x:f>'02_CRITERIA'!F25</x:f>
        <x:v>MISSING</x:v>
      </x:c>
      <x:c r="G16" s="142"/>
      <x:c r="H16" s="142"/>
      <x:c r="I16" s="142"/>
      <x:c r="J16" s="142"/>
    </x:row>
    <x:row r="17">
      <x:c r="B17" s="142"/>
      <x:c r="C17" s="142"/>
      <x:c r="D17" s="142"/>
      <x:c r="E17" s="142"/>
      <x:c r="F17" s="142"/>
      <x:c r="G17" s="142"/>
      <x:c r="H17" s="142"/>
      <x:c r="I17" s="142"/>
      <x:c r="J17" s="142"/>
    </x:row>
    <x:row r="18">
      <x:c r="B18" s="142"/>
      <x:c r="C18" s="142"/>
      <x:c r="D18" s="142"/>
      <x:c r="E18" s="142"/>
      <x:c r="F18" s="142"/>
      <x:c r="G18" s="142"/>
      <x:c r="H18" s="142"/>
      <x:c r="I18" s="142"/>
      <x:c r="J18" s="142"/>
    </x:row>
    <x:row r="19">
      <x:c r="B19" s="150" t="str">
        <x:v>BEAM_SCHEDULE — PROTOTYPE OUTPUT</x:v>
      </x:c>
      <x:c r="C19" s="150"/>
      <x:c r="D19" s="150"/>
      <x:c r="E19" s="150"/>
      <x:c r="F19" s="150"/>
      <x:c r="G19" s="150"/>
      <x:c r="H19" s="150"/>
      <x:c r="I19" s="150"/>
      <x:c r="J19" s="150"/>
    </x:row>
    <x:row r="20">
      <x:c r="B20" s="141" t="str">
        <x:v>Mark</x:v>
      </x:c>
      <x:c r="C20" s="141" t="str">
        <x:v>Member</x:v>
      </x:c>
      <x:c r="D20" s="141" t="str">
        <x:v>Span</x:v>
      </x:c>
      <x:c r="E20" s="141" t="str">
        <x:v>Trib. Width</x:v>
      </x:c>
      <x:c r="F20" s="141" t="str">
        <x:v>Load Case</x:v>
      </x:c>
      <x:c r="G20" s="141" t="str">
        <x:v>Mmax</x:v>
      </x:c>
      <x:c r="H20" s="141" t="str">
        <x:v>Deflection</x:v>
      </x:c>
      <x:c r="I20" s="141" t="str">
        <x:v>L/Δ</x:v>
      </x:c>
      <x:c r="J20" s="141" t="str">
        <x:v>Status</x:v>
      </x:c>
    </x:row>
    <x:row r="21">
      <x:c r="B21" s="142" t="str">
        <x:f>IF('20_WOOD_BEAM'!C8="","",'20_WOOD_BEAM'!C8)</x:f>
      </x:c>
      <x:c r="C21" s="142" t="str">
        <x:f>IF(OR('20_WOOD_BEAM'!C11="",'20_WOOD_BEAM'!C12="",'20_WOOD_BEAM'!C15="",'20_WOOD_BEAM'!C16=""),"",'20_WOOD_BEAM'!C15&amp;"x"&amp;'20_WOOD_BEAM'!C16&amp;" "&amp;'20_WOOD_BEAM'!C11&amp;" "&amp;'20_WOOD_BEAM'!C12)</x:f>
      </x:c>
      <x:c r="D21" s="142" t="str">
        <x:f>IF('20_WOOD_BEAM'!C13="","",'20_WOOD_BEAM'!C13)</x:f>
      </x:c>
      <x:c r="E21" s="142" t="str">
        <x:f>IF('20_WOOD_BEAM'!C14="","",'20_WOOD_BEAM'!C14)</x:f>
      </x:c>
      <x:c r="F21" s="142" t="str">
        <x:f>IF('20_WOOD_BEAM'!C10="","",'20_WOOD_BEAM'!C10)</x:f>
      </x:c>
      <x:c r="G21" s="142" t="str">
        <x:f>IF('20_WOOD_BEAM'!C35="","",'20_WOOD_BEAM'!C35)</x:f>
      </x:c>
      <x:c r="H21" s="142" t="str">
        <x:f>IF('20_WOOD_BEAM'!C38="","",'20_WOOD_BEAM'!C38)</x:f>
      </x:c>
      <x:c r="I21" s="142" t="str">
        <x:f>IF('20_WOOD_BEAM'!C40="","",'20_WOOD_BEAM'!C40)</x:f>
      </x:c>
      <x:c r="J21" s="142" t="str">
        <x:f>IF('20_WOOD_BEAM'!H57="","",'20_WOOD_BEAM'!H57)</x:f>
        <x:v>PENDING</x:v>
      </x:c>
    </x:row>
    <x:row r="22">
      <x:c r="B22" s="142"/>
      <x:c r="C22" s="142"/>
      <x:c r="D22" s="142"/>
      <x:c r="E22" s="142"/>
      <x:c r="F22" s="142"/>
      <x:c r="G22" s="142"/>
      <x:c r="H22" s="142"/>
      <x:c r="I22" s="142"/>
      <x:c r="J22" s="142"/>
    </x:row>
    <x:row r="23">
      <x:c r="B23" s="142"/>
      <x:c r="C23" s="142"/>
      <x:c r="D23" s="142"/>
      <x:c r="E23" s="142"/>
      <x:c r="F23" s="142"/>
      <x:c r="G23" s="142"/>
      <x:c r="H23" s="142"/>
      <x:c r="I23" s="142"/>
      <x:c r="J23" s="142"/>
    </x:row>
    <x:row r="24">
      <x:c r="B24" s="142"/>
      <x:c r="C24" s="142"/>
      <x:c r="D24" s="142"/>
      <x:c r="E24" s="142"/>
      <x:c r="F24" s="142"/>
      <x:c r="G24" s="142"/>
      <x:c r="H24" s="142"/>
      <x:c r="I24" s="142"/>
      <x:c r="J24" s="142"/>
    </x:row>
    <x:row r="25">
      <x:c r="B25" s="150" t="str">
        <x:v>G1 / S1 GENERAL NOTES — GENERATED OUTPUT PLACEHOLDER</x:v>
      </x:c>
      <x:c r="C25" s="150"/>
      <x:c r="D25" s="150"/>
      <x:c r="E25" s="150"/>
      <x:c r="F25" s="150"/>
      <x:c r="G25" s="150"/>
      <x:c r="H25" s="150"/>
      <x:c r="I25" s="150"/>
      <x:c r="J25" s="150"/>
    </x:row>
    <x:row r="26">
      <x:c r="B26" s="141" t="str">
        <x:v>Note ID</x:v>
      </x:c>
      <x:c r="C26" s="141" t="str">
        <x:v>Discipline</x:v>
      </x:c>
      <x:c r="D26" s="141" t="str">
        <x:v>Applies?</x:v>
      </x:c>
      <x:c r="E26" s="141" t="str">
        <x:v>Generated Note Summary</x:v>
      </x:c>
      <x:c r="F26" s="141" t="str">
        <x:v>Source ID</x:v>
      </x:c>
      <x:c r="G26" s="141" t="str">
        <x:v>Exact Ref</x:v>
      </x:c>
      <x:c r="H26" s="141" t="str">
        <x:v>Drawing Sheet</x:v>
      </x:c>
      <x:c r="I26" s="141" t="str">
        <x:v>Revision Trigger</x:v>
      </x:c>
      <x:c r="J26" s="141" t="str">
        <x:v>Review</x:v>
      </x:c>
    </x:row>
    <x:row r="27">
      <x:c r="B27" s="142" t="str">
        <x:v>GN-001</x:v>
      </x:c>
      <x:c r="C27" s="142" t="str">
        <x:v>Structural</x:v>
      </x:c>
      <x:c r="D27" s="142" t="str">
        <x:v>YES</x:v>
      </x:c>
      <x:c r="E27" s="142" t="str">
        <x:v>Design is based on the governing code editions listed in the design criteria schedule.</x:v>
      </x:c>
      <x:c r="F27" s="142" t="str">
        <x:v>SRC-01</x:v>
      </x:c>
      <x:c r="G27" s="142" t="str">
        <x:v>TBD</x:v>
      </x:c>
      <x:c r="H27" s="142" t="str">
        <x:v>S1</x:v>
      </x:c>
      <x:c r="I27" s="142" t="str">
        <x:v>Code edition</x:v>
      </x:c>
      <x:c r="J27" s="142" t="str">
        <x:v>REVIEW</x:v>
      </x:c>
    </x:row>
    <x:row r="28">
      <x:c r="B28" s="142" t="str">
        <x:v>GN-002</x:v>
      </x:c>
      <x:c r="C28" s="142" t="str">
        <x:v>Wood</x:v>
      </x:c>
      <x:c r="D28" s="142" t="str">
        <x:v>YES</x:v>
      </x:c>
      <x:c r="E28" s="142" t="str">
        <x:v>Wood member properties and adjustment factors shall match the selected species, grade, product, and governing NDS edition.</x:v>
      </x:c>
      <x:c r="F28" s="142" t="str">
        <x:v>SRC-04</x:v>
      </x:c>
      <x:c r="G28" s="142" t="str">
        <x:v>TBD</x:v>
      </x:c>
      <x:c r="H28" s="142" t="str">
        <x:v>S1</x:v>
      </x:c>
      <x:c r="I28" s="142" t="str">
        <x:v>Material selection</x:v>
      </x:c>
      <x:c r="J28" s="142" t="str">
        <x:v>REVIEW</x:v>
      </x:c>
    </x:row>
    <x:row r="29">
      <x:c r="B29" s="142" t="str">
        <x:v>GN-003</x:v>
      </x:c>
      <x:c r="C29" s="142" t="str">
        <x:v>Lateral</x:v>
      </x:c>
      <x:c r="D29" s="142" t="str">
        <x:v>CONDITIONAL</x:v>
      </x:c>
      <x:c r="E29" s="142" t="str">
        <x:v>Shear wall and diaphragm notes generated only when lateral modules are active.</x:v>
      </x:c>
      <x:c r="F29" s="142" t="str">
        <x:v>SRC-06</x:v>
      </x:c>
      <x:c r="G29" s="142" t="str">
        <x:v>TBD</x:v>
      </x:c>
      <x:c r="H29" s="142" t="str">
        <x:v>S1</x:v>
      </x:c>
      <x:c r="I29" s="142" t="str">
        <x:v>Lateral system</x:v>
      </x:c>
      <x:c r="J29" s="142" t="str">
        <x:v>REVIEW</x:v>
      </x:c>
    </x:row>
    <x:row r="30">
      <x:c r="B30" s="142" t="str">
        <x:v>GN-004</x:v>
      </x:c>
      <x:c r="C30" s="142" t="str">
        <x:v>Geotechnical</x:v>
      </x:c>
      <x:c r="D30" s="142" t="str">
        <x:v>CONDITIONAL</x:v>
      </x:c>
      <x:c r="E30" s="142" t="str">
        <x:v>Site-class and foundation notes generated from the geotechnical basis recorded for the project.</x:v>
      </x:c>
      <x:c r="F30" s="142" t="str">
        <x:v>Project</x:v>
      </x:c>
      <x:c r="G30" s="142" t="str">
        <x:v>TBD</x:v>
      </x:c>
      <x:c r="H30" s="142" t="str">
        <x:v>S1/G1</x:v>
      </x:c>
      <x:c r="I30" s="142" t="str">
        <x:v>Geotech source</x:v>
      </x:c>
      <x:c r="J30" s="142" t="str">
        <x:v>REVIEW</x:v>
      </x:c>
    </x:row>
    <x:row r="31">
      <x:c r="B31" t="str">
        <x:v>GN-005</x:v>
      </x:c>
      <x:c r="C31" t="str">
        <x:v>Seismic</x:v>
      </x:c>
      <x:c r="D31" t="str">
        <x:v>CONDITIONAL</x:v>
      </x:c>
      <x:c r="E31" t="str">
        <x:v>Seismic design criteria, force-resisting systems, hazard parameters, and analysis method shall match the controlled seismic design schedule and reviewed calculation package.</x:v>
      </x:c>
      <x:c r="F31" t="str">
        <x:v>SRC-16</x:v>
      </x:c>
      <x:c r="G31" t="str">
        <x:v>ASCE 7-22 Ch. 12</x:v>
      </x:c>
      <x:c r="H31" t="str">
        <x:v>S1</x:v>
      </x:c>
      <x:c r="I31" t="str">
        <x:v>Seismic system / hazard / code edition</x:v>
      </x:c>
      <x:c r="J31" t="str">
        <x:v>REVIEW</x:v>
      </x:c>
    </x:row>
    <x:row r="32">
      <x:c r="B32" s="171" t="str">
        <x:v>S1_LOAD_COMBINATION_BASIS — CAD OUTPUT</x:v>
      </x:c>
      <x:c r="C32" s="171"/>
      <x:c r="D32" s="171"/>
      <x:c r="E32" s="171"/>
      <x:c r="F32" s="171"/>
      <x:c r="G32" s="171"/>
      <x:c r="H32" s="171"/>
      <x:c r="I32" s="171"/>
      <x:c r="J32" s="171"/>
    </x:row>
    <x:row r="33">
      <x:c r="B33" s="185" t="str">
        <x:v>Design Method</x:v>
      </x:c>
      <x:c r="C33" s="185" t="str">
        <x:v>Primary Standard</x:v>
      </x:c>
      <x:c r="D33" s="185" t="str">
        <x:v>Strength Ref</x:v>
      </x:c>
      <x:c r="E33" s="185" t="str">
        <x:v>ASD Ref</x:v>
      </x:c>
      <x:c r="F33" s="185" t="str">
        <x:v>Seismic Strength Ref</x:v>
      </x:c>
      <x:c r="G33" s="185" t="str">
        <x:v>Seismic ASD Ref</x:v>
      </x:c>
      <x:c r="H33" s="185" t="str">
        <x:v>Engine</x:v>
      </x:c>
      <x:c r="I33" s="185" t="str">
        <x:v>Validation</x:v>
      </x:c>
      <x:c r="J33" s="185" t="str">
        <x:v>Status</x:v>
      </x:c>
    </x:row>
    <x:row r="34">
      <x:c r="B34" s="146" t="str">
        <x:f>IF('01_INPUTS'!C20="","",'01_INPUTS'!C20)</x:f>
      </x:c>
      <x:c r="C34" s="146" t="str">
        <x:v>ASCE/SEI 7-22</x:v>
      </x:c>
      <x:c r="D34" s="146" t="str">
        <x:v>§2.3.1</x:v>
      </x:c>
      <x:c r="E34" s="146" t="str">
        <x:v>§2.4.1</x:v>
      </x:c>
      <x:c r="F34" s="146" t="str">
        <x:v>§2.3.6</x:v>
      </x:c>
      <x:c r="G34" s="146" t="str">
        <x:v>§2.4.5</x:v>
      </x:c>
      <x:c r="H34" s="146" t="str">
        <x:v>14_LOAD_COMBOS</x:v>
      </x:c>
      <x:c r="I34" s="146" t="str">
        <x:v>05_QA_VALIDATION</x:v>
      </x:c>
      <x:c r="J34" s="146" t="str">
        <x:f>IF('05_QA_VALIDATION'!I80="PASS","VERIFIED","REVIEW")</x:f>
        <x:v>VERIFIED</x:v>
      </x:c>
    </x:row>
    <x:row r="36">
      <x:c r="B36" s="226" t="str">
        <x:v>S1_WIND_DESIGN_CRITERIA — CAD OUTPUT</x:v>
      </x:c>
      <x:c r="C36" s="226"/>
      <x:c r="D36" s="226"/>
      <x:c r="E36" s="226"/>
      <x:c r="F36" s="226"/>
      <x:c r="G36" s="226"/>
      <x:c r="H36" s="226"/>
      <x:c r="I36" s="226"/>
      <x:c r="J36" s="226"/>
    </x:row>
    <x:row r="37">
      <x:c r="B37" s="231" t="str">
        <x:v>Parameter</x:v>
      </x:c>
      <x:c r="C37" s="231" t="str">
        <x:v>Value</x:v>
      </x:c>
      <x:c r="D37" s="231" t="str">
        <x:v>Unit</x:v>
      </x:c>
      <x:c r="E37" s="231" t="str">
        <x:v>Reference</x:v>
      </x:c>
      <x:c r="F37" s="231" t="str">
        <x:v>Status</x:v>
      </x:c>
      <x:c r="G37"/>
      <x:c r="H37"/>
      <x:c r="I37"/>
      <x:c r="J37"/>
    </x:row>
    <x:row r="38">
      <x:c r="B38" s="140" t="str">
        <x:v>Basic Wind Speed V</x:v>
      </x:c>
      <x:c r="C38" s="140" t="str">
        <x:f>IF('16_WIND'!C11="","",'16_WIND'!C11)</x:f>
      </x:c>
      <x:c r="D38" s="140" t="str">
        <x:v>mph</x:v>
      </x:c>
      <x:c r="E38" s="140" t="str">
        <x:v>ASCE 7-22 / hazard source</x:v>
      </x:c>
      <x:c r="F38" s="140" t="str">
        <x:f>IF(C38="","MISSING","OK")</x:f>
        <x:v>MISSING</x:v>
      </x:c>
    </x:row>
    <x:row r="39">
      <x:c r="B39" s="140" t="str">
        <x:v>Exposure Category</x:v>
      </x:c>
      <x:c r="C39" s="140" t="str">
        <x:f>IF('16_WIND'!C15="","",'16_WIND'!C15)</x:f>
      </x:c>
      <x:c r="D39" s="140" t="str"/>
      <x:c r="E39" s="140" t="str">
        <x:v>ASCE 7-22 §26.7</x:v>
      </x:c>
      <x:c r="F39" s="140" t="str">
        <x:f>IF(C39="","MISSING","OK")</x:f>
        <x:v>MISSING</x:v>
      </x:c>
    </x:row>
    <x:row r="40">
      <x:c r="B40" s="140" t="str">
        <x:v>Kzt</x:v>
      </x:c>
      <x:c r="C40" s="140" t="str">
        <x:f>IF('16_WIND'!C16="","",'16_WIND'!C16)</x:f>
      </x:c>
      <x:c r="D40" s="140" t="str"/>
      <x:c r="E40" s="140" t="str">
        <x:v>ASCE 7-22 §26.8</x:v>
      </x:c>
      <x:c r="F40" s="140" t="str">
        <x:f>IF(C40="","MISSING","OK")</x:f>
        <x:v>MISSING</x:v>
      </x:c>
    </x:row>
    <x:row r="41">
      <x:c r="B41" s="140" t="str">
        <x:v>Ke</x:v>
      </x:c>
      <x:c r="C41" s="140" t="str">
        <x:f>IF('16_WIND'!C17="","",'16_WIND'!C17)</x:f>
      </x:c>
      <x:c r="D41" s="140" t="str"/>
      <x:c r="E41" s="140" t="str">
        <x:v>ASCE 7-22 §26.9</x:v>
      </x:c>
      <x:c r="F41" s="140" t="str">
        <x:f>IF(C41="","MISSING","OK")</x:f>
        <x:v>MISSING</x:v>
      </x:c>
    </x:row>
    <x:row r="42">
      <x:c r="B42" s="140" t="str">
        <x:v>Kd</x:v>
      </x:c>
      <x:c r="C42" s="140" t="str">
        <x:f>IF('16_WIND'!C18="","",'16_WIND'!C18)</x:f>
      </x:c>
      <x:c r="D42" s="140" t="str"/>
      <x:c r="E42" s="140" t="str">
        <x:v>ASCE 7-22 Table 26.6-1</x:v>
      </x:c>
      <x:c r="F42" s="140" t="str">
        <x:f>IF(C42="","MISSING","OK")</x:f>
        <x:v>MISSING</x:v>
      </x:c>
    </x:row>
    <x:row r="43">
      <x:c r="B43" s="140" t="str">
        <x:v>Enclosure</x:v>
      </x:c>
      <x:c r="C43" s="140" t="str">
        <x:f>IF('16_WIND'!C19="","",'16_WIND'!C19)</x:f>
      </x:c>
      <x:c r="D43" s="140" t="str"/>
      <x:c r="E43" s="140" t="str">
        <x:v>ASCE 7-22 §§26.12–26.13</x:v>
      </x:c>
      <x:c r="F43" s="140" t="str">
        <x:f>IF(C43="","MISSING","OK")</x:f>
        <x:v>MISSING</x:v>
      </x:c>
    </x:row>
    <x:row r="44">
      <x:c r="B44" s="140" t="str">
        <x:v>Mean Roof Height</x:v>
      </x:c>
      <x:c r="C44" s="140" t="str">
        <x:f>IF('16_WIND'!C12="","",'16_WIND'!C12)</x:f>
      </x:c>
      <x:c r="D44" s="140" t="str">
        <x:v>ft</x:v>
      </x:c>
      <x:c r="E44" s="140" t="str">
        <x:v>Project geometry</x:v>
      </x:c>
      <x:c r="F44" s="140" t="str">
        <x:f>IF(C44="","MISSING","OK")</x:f>
        <x:v>MISSING</x:v>
      </x:c>
    </x:row>
    <x:row r="45">
      <x:c r="B45" s="140" t="str">
        <x:v>Velocity Pressure qh</x:v>
      </x:c>
      <x:c r="C45" s="140" t="str">
        <x:f>IF('16_WIND'!C28="","",'16_WIND'!C28)</x:f>
      </x:c>
      <x:c r="D45" s="140" t="str">
        <x:v>psf</x:v>
      </x:c>
      <x:c r="E45" s="140" t="str">
        <x:v>ASCE 7-22 Eq. 26.10-1</x:v>
      </x:c>
      <x:c r="F45" s="140" t="str">
        <x:f>IF(C45="","MISSING","OK")</x:f>
        <x:v>MISSING</x:v>
      </x:c>
    </x:row>
    <x:row r="46">
      <x:c r="B46" s="140" t="str">
        <x:v>Wind Procedure</x:v>
      </x:c>
      <x:c r="C46" s="140" t="str">
        <x:f>IF('16_WIND'!C10="","",'16_WIND'!C10)</x:f>
      </x:c>
      <x:c r="D46" s="140" t="str"/>
      <x:c r="E46" s="140" t="str">
        <x:v>ASCE 7-22 Ch. 28</x:v>
      </x:c>
      <x:c r="F46" s="140" t="str">
        <x:f>IF(C46="","MISSING","OK")</x:f>
        <x:v>MISSING</x:v>
      </x:c>
    </x:row>
    <x:row r="48">
      <x:c r="B48" s="292" t="str">
        <x:v>S1_SEISMIC_DESIGN_CRITERIA — CAD OUTPUT</x:v>
      </x:c>
      <x:c r="C48" s="292"/>
      <x:c r="D48" s="292"/>
      <x:c r="E48" s="292"/>
      <x:c r="F48" s="292"/>
      <x:c r="G48" s="292"/>
      <x:c r="H48" s="292"/>
      <x:c r="I48" s="292"/>
      <x:c r="J48" s="292"/>
    </x:row>
    <x:row r="49">
      <x:c r="B49" s="303" t="str">
        <x:v>Parameter</x:v>
      </x:c>
      <x:c r="C49" s="303" t="str">
        <x:v>Value</x:v>
      </x:c>
      <x:c r="D49" s="303" t="str">
        <x:v>Unit</x:v>
      </x:c>
      <x:c r="E49" s="303" t="str">
        <x:v>Reference</x:v>
      </x:c>
      <x:c r="F49" s="303" t="str">
        <x:v>Status</x:v>
      </x:c>
      <x:c r="G49" s="140"/>
      <x:c r="H49" s="140"/>
      <x:c r="I49" s="140"/>
      <x:c r="J49" s="140"/>
    </x:row>
    <x:row r="50">
      <x:c r="B50" s="140" t="str">
        <x:v>Risk Category</x:v>
      </x:c>
      <x:c r="C50" s="140" t="str">
        <x:f>IF('18_SEISMIC'!C8="","",'18_SEISMIC'!C8)</x:f>
      </x:c>
      <x:c r="D50" s="140"/>
      <x:c r="E50" s="140" t="str">
        <x:v>ASCE 7-22 / CBC</x:v>
      </x:c>
      <x:c r="F50" s="140" t="str">
        <x:f>IF(C50="","MISSING","AVAILABLE")</x:f>
        <x:v>MISSING</x:v>
      </x:c>
      <x:c r="G50" s="140"/>
      <x:c r="H50" s="140"/>
      <x:c r="I50" s="140"/>
      <x:c r="J50" s="140"/>
    </x:row>
    <x:row r="51">
      <x:c r="B51" s="140" t="str">
        <x:v>Site Class</x:v>
      </x:c>
      <x:c r="C51" s="140" t="str">
        <x:f>IF('18_SEISMIC'!C10="","",'18_SEISMIC'!C10)</x:f>
      </x:c>
      <x:c r="D51" s="140"/>
      <x:c r="E51" s="140" t="str">
        <x:v>ASCE 7-22 Ch. 20</x:v>
      </x:c>
      <x:c r="F51" s="140" t="str">
        <x:f>IF(C51="","MISSING","AVAILABLE")</x:f>
        <x:v>MISSING</x:v>
      </x:c>
      <x:c r="G51" s="140"/>
      <x:c r="H51" s="140"/>
      <x:c r="I51" s="140"/>
      <x:c r="J51" s="140"/>
    </x:row>
    <x:row r="52">
      <x:c r="B52" s="140" t="str">
        <x:v>Seismic Design Category</x:v>
      </x:c>
      <x:c r="C52" s="140" t="str">
        <x:f>IF('18_SEISMIC'!C18="","",'18_SEISMIC'!C18)</x:f>
      </x:c>
      <x:c r="D52" s="140"/>
      <x:c r="E52" s="140" t="str">
        <x:v>ASCE 7-22 §11.6</x:v>
      </x:c>
      <x:c r="F52" s="140" t="str">
        <x:f>IF(C52="","MISSING","AVAILABLE")</x:f>
        <x:v>MISSING</x:v>
      </x:c>
      <x:c r="G52" s="140"/>
      <x:c r="H52" s="140"/>
      <x:c r="I52" s="140"/>
      <x:c r="J52" s="140"/>
    </x:row>
    <x:row r="53">
      <x:c r="B53" s="140" t="str">
        <x:v>SDS</x:v>
      </x:c>
      <x:c r="C53" s="140" t="str">
        <x:f>IF('18_SEISMIC'!C11="","",'18_SEISMIC'!C11)</x:f>
      </x:c>
      <x:c r="D53" s="140" t="str">
        <x:v>g</x:v>
      </x:c>
      <x:c r="E53" s="140" t="str">
        <x:v>USGS / ASCE 7-22</x:v>
      </x:c>
      <x:c r="F53" s="140" t="str">
        <x:f>IF(C53="","MISSING","AVAILABLE")</x:f>
        <x:v>MISSING</x:v>
      </x:c>
      <x:c r="G53" s="140"/>
      <x:c r="H53" s="140"/>
      <x:c r="I53" s="140"/>
      <x:c r="J53" s="140"/>
    </x:row>
    <x:row r="54">
      <x:c r="B54" s="140" t="str">
        <x:v>SD1</x:v>
      </x:c>
      <x:c r="C54" s="140" t="str">
        <x:f>IF('18_SEISMIC'!C12="","",'18_SEISMIC'!C12)</x:f>
      </x:c>
      <x:c r="D54" s="140" t="str">
        <x:v>g</x:v>
      </x:c>
      <x:c r="E54" s="140" t="str">
        <x:v>USGS / ASCE 7-22</x:v>
      </x:c>
      <x:c r="F54" s="140" t="str">
        <x:f>IF(C54="","MISSING","AVAILABLE")</x:f>
        <x:v>MISSING</x:v>
      </x:c>
      <x:c r="G54" s="140"/>
      <x:c r="H54" s="140"/>
      <x:c r="I54" s="140"/>
      <x:c r="J54" s="140"/>
    </x:row>
    <x:row r="55">
      <x:c r="B55" s="140" t="str">
        <x:v>Ss</x:v>
      </x:c>
      <x:c r="C55" s="140" t="str">
        <x:f>IF('18_SEISMIC'!C13="","",'18_SEISMIC'!C13)</x:f>
      </x:c>
      <x:c r="D55" s="140" t="str">
        <x:v>g</x:v>
      </x:c>
      <x:c r="E55" s="140" t="str">
        <x:v>USGS ASCE7-22</x:v>
      </x:c>
      <x:c r="F55" s="140" t="str">
        <x:f>IF(C55="","MISSING","AVAILABLE")</x:f>
        <x:v>MISSING</x:v>
      </x:c>
      <x:c r="G55" s="140"/>
      <x:c r="H55" s="140"/>
      <x:c r="I55" s="140"/>
      <x:c r="J55" s="140"/>
    </x:row>
    <x:row r="56">
      <x:c r="B56" s="140" t="str">
        <x:v>S1</x:v>
      </x:c>
      <x:c r="C56" s="140" t="str">
        <x:f>IF('18_SEISMIC'!C14="","",'18_SEISMIC'!C14)</x:f>
      </x:c>
      <x:c r="D56" s="140" t="str">
        <x:v>g</x:v>
      </x:c>
      <x:c r="E56" s="140" t="str">
        <x:v>USGS ASCE7-22</x:v>
      </x:c>
      <x:c r="F56" s="140" t="str">
        <x:f>IF(C56="","MISSING","AVAILABLE")</x:f>
        <x:v>MISSING</x:v>
      </x:c>
      <x:c r="G56" s="140"/>
      <x:c r="H56" s="140"/>
      <x:c r="I56" s="140"/>
      <x:c r="J56" s="140"/>
    </x:row>
    <x:row r="57">
      <x:c r="B57" s="140" t="str">
        <x:v>TL</x:v>
      </x:c>
      <x:c r="C57" s="140" t="str">
        <x:f>IF('18_SEISMIC'!C15="","",'18_SEISMIC'!C15)</x:f>
      </x:c>
      <x:c r="D57" s="140" t="str">
        <x:v>sec</x:v>
      </x:c>
      <x:c r="E57" s="140" t="str">
        <x:v>USGS ASCE7-22</x:v>
      </x:c>
      <x:c r="F57" s="140" t="str">
        <x:f>IF(C57="","MISSING","AVAILABLE")</x:f>
        <x:v>MISSING</x:v>
      </x:c>
      <x:c r="G57" s="140"/>
      <x:c r="H57" s="140"/>
      <x:c r="I57" s="140"/>
      <x:c r="J57" s="140"/>
    </x:row>
    <x:row r="58">
      <x:c r="B58" s="140" t="str">
        <x:v>Importance Factor Ie</x:v>
      </x:c>
      <x:c r="C58" s="140" t="str">
        <x:f>IF('18_SEISMIC'!C9="","",'18_SEISMIC'!C9)</x:f>
      </x:c>
      <x:c r="D58" s="140"/>
      <x:c r="E58" s="140" t="str">
        <x:v>ASCE 7-22 Table 1.5-2</x:v>
      </x:c>
      <x:c r="F58" s="140" t="str">
        <x:f>IF(C58="","MISSING","AVAILABLE")</x:f>
        <x:v>MISSING</x:v>
      </x:c>
      <x:c r="G58" s="140"/>
      <x:c r="H58" s="140"/>
      <x:c r="I58" s="140"/>
      <x:c r="J58" s="140"/>
    </x:row>
    <x:row r="59">
      <x:c r="B59" s="140" t="str">
        <x:v>SFRS — X</x:v>
      </x:c>
      <x:c r="C59" s="140" t="str">
        <x:f>IF('18_SEISMIC'!C26="","",'18_SEISMIC'!C26)</x:f>
      </x:c>
      <x:c r="D59" s="140"/>
      <x:c r="E59" s="140" t="str">
        <x:v>ASCE 7-22 Table 12.2-1</x:v>
      </x:c>
      <x:c r="F59" s="140" t="str">
        <x:f>IF(C59="","MISSING","AVAILABLE")</x:f>
        <x:v>MISSING</x:v>
      </x:c>
      <x:c r="G59" s="140"/>
      <x:c r="H59" s="140"/>
      <x:c r="I59" s="140"/>
      <x:c r="J59" s="140"/>
    </x:row>
    <x:row r="60">
      <x:c r="B60" s="140" t="str">
        <x:v>R — X</x:v>
      </x:c>
      <x:c r="C60" s="140" t="str">
        <x:f>IF('18_SEISMIC'!D26="","",'18_SEISMIC'!D26)</x:f>
      </x:c>
      <x:c r="D60" s="140"/>
      <x:c r="E60" s="140" t="str">
        <x:v>ASCE 7-22 Table 12.2-1</x:v>
      </x:c>
      <x:c r="F60" s="140" t="str">
        <x:f>IF(C60="","MISSING","AVAILABLE")</x:f>
        <x:v>MISSING</x:v>
      </x:c>
      <x:c r="G60" s="140"/>
      <x:c r="H60" s="140"/>
      <x:c r="I60" s="140"/>
      <x:c r="J60" s="140"/>
    </x:row>
    <x:row r="61">
      <x:c r="B61" s="140" t="str">
        <x:v>Base Shear Vx</x:v>
      </x:c>
      <x:c r="C61" s="140" t="str">
        <x:f>IF('18_SEISMIC'!K31="","",'18_SEISMIC'!K31)</x:f>
      </x:c>
      <x:c r="D61" s="140" t="str">
        <x:v>kips</x:v>
      </x:c>
      <x:c r="E61" s="140" t="str">
        <x:v>ASCE 7-22 Eq. 12.8-1</x:v>
      </x:c>
      <x:c r="F61" s="140" t="str">
        <x:f>IF(C61="","MISSING","AVAILABLE")</x:f>
        <x:v>MISSING</x:v>
      </x:c>
      <x:c r="G61" s="140"/>
      <x:c r="H61" s="140"/>
      <x:c r="I61" s="140"/>
      <x:c r="J61" s="140"/>
    </x:row>
    <x:row r="62">
      <x:c r="B62" s="140" t="str">
        <x:v>SFRS — Y</x:v>
      </x:c>
      <x:c r="C62" s="140" t="str">
        <x:f>IF('18_SEISMIC'!C27="","",'18_SEISMIC'!C27)</x:f>
      </x:c>
      <x:c r="D62" s="140"/>
      <x:c r="E62" s="140" t="str">
        <x:v>ASCE 7-22 Table 12.2-1</x:v>
      </x:c>
      <x:c r="F62" s="140" t="str">
        <x:f>IF(C62="","MISSING","AVAILABLE")</x:f>
        <x:v>MISSING</x:v>
      </x:c>
      <x:c r="G62" s="140"/>
      <x:c r="H62" s="140"/>
      <x:c r="I62" s="140"/>
      <x:c r="J62" s="140"/>
    </x:row>
    <x:row r="63">
      <x:c r="B63" s="140" t="str">
        <x:v>R — Y</x:v>
      </x:c>
      <x:c r="C63" s="140" t="str">
        <x:f>IF('18_SEISMIC'!D27="","",'18_SEISMIC'!D27)</x:f>
      </x:c>
      <x:c r="D63" s="140"/>
      <x:c r="E63" s="140" t="str">
        <x:v>ASCE 7-22 Table 12.2-1</x:v>
      </x:c>
      <x:c r="F63" s="140" t="str">
        <x:f>IF(C63="","MISSING","AVAILABLE")</x:f>
        <x:v>MISSING</x:v>
      </x:c>
      <x:c r="G63" s="140"/>
      <x:c r="H63" s="140"/>
      <x:c r="I63" s="140"/>
      <x:c r="J63" s="140"/>
    </x:row>
    <x:row r="64">
      <x:c r="B64" s="140" t="str">
        <x:v>Base Shear Vy</x:v>
      </x:c>
      <x:c r="C64" s="140" t="str">
        <x:f>IF('18_SEISMIC'!K32="","",'18_SEISMIC'!K32)</x:f>
      </x:c>
      <x:c r="D64" s="140" t="str">
        <x:v>kips</x:v>
      </x:c>
      <x:c r="E64" s="140" t="str">
        <x:v>ASCE 7-22 Eq. 12.8-1</x:v>
      </x:c>
      <x:c r="F64" s="140" t="str">
        <x:f>IF(C64="","MISSING","AVAILABLE")</x:f>
        <x:v>MISSING</x:v>
      </x:c>
      <x:c r="G64" s="140"/>
      <x:c r="H64" s="140"/>
      <x:c r="I64" s="140"/>
      <x:c r="J64" s="140"/>
    </x:row>
    <x:row r="65">
      <x:c r="B65" s="140" t="str">
        <x:v>Seismic QA</x:v>
      </x:c>
      <x:c r="C65" s="140" t="str">
        <x:f>IF('18_SEISMIC'!G80="","",'18_SEISMIC'!G80)</x:f>
        <x:v>PENDING</x:v>
      </x:c>
      <x:c r="D65" s="140"/>
      <x:c r="E65" s="140" t="str">
        <x:v>18_SEISMIC / 05_QA_VALIDATION</x:v>
      </x:c>
      <x:c r="F65" s="140" t="str">
        <x:f>IF(C65="","PENDING",C65)</x:f>
        <x:v>PENDING</x:v>
      </x:c>
      <x:c r="G65" s="140"/>
      <x:c r="H65" s="140"/>
      <x:c r="I65" s="140"/>
      <x:c r="J65" s="140"/>
    </x:row>
    <x:row r="67">
      <x:c r="B67" s="327" t="str">
        <x:v>S1_WOOD_MEMBER_DESIGN — CAD OUTPUT</x:v>
      </x:c>
      <x:c r="C67" s="327"/>
      <x:c r="D67" s="327"/>
      <x:c r="E67" s="327"/>
      <x:c r="F67" s="327"/>
      <x:c r="G67" s="327"/>
      <x:c r="H67" s="327"/>
      <x:c r="I67" s="327"/>
      <x:c r="J67" s="327"/>
    </x:row>
    <x:row r="68">
      <x:c r="B68" s="349" t="str">
        <x:v>Parameter</x:v>
      </x:c>
      <x:c r="C68" s="349" t="str">
        <x:v>Value</x:v>
      </x:c>
      <x:c r="D68" s="349" t="str">
        <x:v>Unit</x:v>
      </x:c>
      <x:c r="E68" s="349" t="str">
        <x:v>Reference</x:v>
      </x:c>
      <x:c r="F68" s="349" t="str">
        <x:v>Status</x:v>
      </x:c>
    </x:row>
    <x:row r="69">
      <x:c r="B69" t="str">
        <x:v>Species / Group</x:v>
      </x:c>
      <x:c r="C69" t="str">
        <x:f>IF('20_WOOD_BEAM'!C11="","",'20_WOOD_BEAM'!C11)</x:f>
      </x:c>
      <x:c r="D69"/>
      <x:c r="E69" t="str">
        <x:v>2024 NDS Supplement / source record</x:v>
      </x:c>
      <x:c r="F69" t="str">
        <x:f>IF(C69="","MISSING","READY")</x:f>
        <x:v>MISSING</x:v>
      </x:c>
    </x:row>
    <x:row r="70">
      <x:c r="B70" t="str">
        <x:v>Grade</x:v>
      </x:c>
      <x:c r="C70" t="str">
        <x:f>IF('20_WOOD_BEAM'!C12="","",'20_WOOD_BEAM'!C12)</x:f>
      </x:c>
      <x:c r="D70"/>
      <x:c r="E70" t="str">
        <x:v>2024 NDS Supplement / source record</x:v>
      </x:c>
      <x:c r="F70" t="str">
        <x:f>IF(C70="","MISSING","READY")</x:f>
        <x:v>MISSING</x:v>
      </x:c>
    </x:row>
    <x:row r="71">
      <x:c r="B71" t="str">
        <x:v>Fb′</x:v>
      </x:c>
      <x:c r="C71" t="str">
        <x:f>IF('20_WOOD_BEAM'!E44="","",'20_WOOD_BEAM'!E44)</x:f>
      </x:c>
      <x:c r="D71" t="str">
        <x:v>psi</x:v>
      </x:c>
      <x:c r="E71" t="str">
        <x:v>20_WOOD_BEAM</x:v>
      </x:c>
      <x:c r="F71" t="str">
        <x:f>IF(C71="","MISSING","READY")</x:f>
        <x:v>MISSING</x:v>
      </x:c>
    </x:row>
    <x:row r="72">
      <x:c r="B72" t="str">
        <x:v>Fv′</x:v>
      </x:c>
      <x:c r="C72" t="str">
        <x:f>IF('20_WOOD_BEAM'!E45="","",'20_WOOD_BEAM'!E45)</x:f>
      </x:c>
      <x:c r="D72" t="str">
        <x:v>psi</x:v>
      </x:c>
      <x:c r="E72" t="str">
        <x:v>20_WOOD_BEAM</x:v>
      </x:c>
      <x:c r="F72" t="str">
        <x:f>IF(C72="","MISSING","READY")</x:f>
        <x:v>MISSING</x:v>
      </x:c>
    </x:row>
    <x:row r="73">
      <x:c r="B73" t="str">
        <x:v>Fc⊥′</x:v>
      </x:c>
      <x:c r="C73" t="str">
        <x:f>IF('20_WOOD_BEAM'!E46="","",'20_WOOD_BEAM'!E46)</x:f>
      </x:c>
      <x:c r="D73" t="str">
        <x:v>psi</x:v>
      </x:c>
      <x:c r="E73" t="str">
        <x:v>20_WOOD_BEAM</x:v>
      </x:c>
      <x:c r="F73" t="str">
        <x:f>IF(C73="","MISSING","READY")</x:f>
        <x:v>MISSING</x:v>
      </x:c>
    </x:row>
    <x:row r="74">
      <x:c r="B74" t="str">
        <x:v>E′</x:v>
      </x:c>
      <x:c r="C74" t="str">
        <x:f>IF('20_WOOD_BEAM'!E47="","",'20_WOOD_BEAM'!E47)</x:f>
      </x:c>
      <x:c r="D74" t="str">
        <x:v>psi</x:v>
      </x:c>
      <x:c r="E74" t="str">
        <x:v>20_WOOD_BEAM</x:v>
      </x:c>
      <x:c r="F74" t="str">
        <x:f>IF(C74="","MISSING","READY")</x:f>
        <x:v>MISSING</x:v>
      </x:c>
    </x:row>
    <x:row r="75">
      <x:c r="B75" t="str">
        <x:v>Max Utilization</x:v>
      </x:c>
      <x:c r="C75" t="str">
        <x:f>IF('20_WOOD_BEAM'!G57="","",'20_WOOD_BEAM'!G57)</x:f>
      </x:c>
      <x:c r="D75"/>
      <x:c r="E75" t="str">
        <x:v>20_WOOD_BEAM</x:v>
      </x:c>
      <x:c r="F75" t="str">
        <x:f>IF(C75="","MISSING",IF(C75&lt;=1,"PASS","FAIL"))</x:f>
        <x:v>MISSING</x:v>
      </x:c>
    </x:row>
    <x:row r="76">
      <x:c r="B76" t="str">
        <x:v>Member QA</x:v>
      </x:c>
      <x:c r="C76" t="str">
        <x:f>IF('20_WOOD_BEAM'!I12="","",'20_WOOD_BEAM'!I12)</x:f>
        <x:v>PENDING</x:v>
      </x:c>
      <x:c r="D76"/>
      <x:c r="E76" t="str">
        <x:v>20_WOOD_BEAM / 05_QA_VALIDATION</x:v>
      </x:c>
      <x:c r="F76" t="str">
        <x:f>IF(C76="","PENDING",C76)</x:f>
        <x:v>PENDING</x:v>
      </x:c>
    </x:row>
    <x:row r="78">
      <x:c r="B78" s="374" t="str">
        <x:v>COLUMN / POST SCHEDULE — PROTOTYPE OUTPUT</x:v>
      </x:c>
      <x:c r="C78" s="374"/>
      <x:c r="D78" s="374"/>
      <x:c r="E78" s="374"/>
      <x:c r="F78" s="374"/>
      <x:c r="G78" s="374"/>
      <x:c r="H78" s="374"/>
      <x:c r="I78" s="374"/>
      <x:c r="J78" s="374"/>
    </x:row>
    <x:row r="79">
      <x:c r="B79" s="383" t="str">
        <x:v>Mark</x:v>
      </x:c>
      <x:c r="C79" s="383" t="str">
        <x:v>Member / Use</x:v>
      </x:c>
      <x:c r="D79" s="383" t="str">
        <x:v>Size</x:v>
      </x:c>
      <x:c r="E79" s="383" t="str">
        <x:v>Unbraced Lx</x:v>
      </x:c>
      <x:c r="F79" s="383" t="str">
        <x:v>Unbraced Ly</x:v>
      </x:c>
      <x:c r="G79" s="383" t="str">
        <x:v>Axial Demand</x:v>
      </x:c>
      <x:c r="H79" s="383" t="str">
        <x:v>Capacity</x:v>
      </x:c>
      <x:c r="I79" s="383" t="str">
        <x:v>D/C</x:v>
      </x:c>
      <x:c r="J79" s="383" t="str">
        <x:v>Status</x:v>
      </x:c>
    </x:row>
    <x:row r="80">
      <x:c r="B80" t="str">
        <x:f>IF('01_INPUTS'!C145="","",'01_INPUTS'!C145)</x:f>
      </x:c>
      <x:c r="C80" t="str">
        <x:f>IF('01_INPUTS'!C146="","",'01_INPUTS'!C146)</x:f>
      </x:c>
      <x:c r="D80" t="str">
        <x:f>IF(OR('01_INPUTS'!C148="",'01_INPUTS'!C149=""),"",TEXT('01_INPUTS'!C148,"0.###")&amp;" x "&amp;TEXT('01_INPUTS'!C149,"0.###"))</x:f>
      </x:c>
      <x:c r="E80" t="str">
        <x:f>IF('01_INPUTS'!C151="","",'01_INPUTS'!C151)</x:f>
      </x:c>
      <x:c r="F80" t="str">
        <x:f>IF('01_INPUTS'!C152="","",'01_INPUTS'!C152)</x:f>
      </x:c>
      <x:c r="G80" t="str">
        <x:f>IF('01_INPUTS'!C150="","",'01_INPUTS'!C150)</x:f>
      </x:c>
      <x:c r="H80" t="str">
        <x:f>IF('22_WOOD_COLUMN'!C55="","",'22_WOOD_COLUMN'!C55)</x:f>
      </x:c>
      <x:c r="I80" t="str">
        <x:f>IF('22_WOOD_COLUMN'!C56="","",'22_WOOD_COLUMN'!C56)</x:f>
      </x:c>
      <x:c r="J80" t="str">
        <x:f>IF('22_WOOD_COLUMN'!I12="","PENDING",'22_WOOD_COLUMN'!I12)</x:f>
        <x:v>PENDING</x:v>
      </x:c>
    </x:row>
    <x:row r="82">
      <x:c r="B82" s="391" t="str">
        <x:v>SHEAR WALL SCHEDULE — PROTOTYPE OUTPUT</x:v>
      </x:c>
      <x:c r="C82" s="391"/>
      <x:c r="D82" s="391"/>
      <x:c r="E82" s="391"/>
      <x:c r="F82" s="391"/>
      <x:c r="G82" s="391"/>
      <x:c r="H82" s="391"/>
      <x:c r="I82" s="391"/>
      <x:c r="J82" s="391"/>
    </x:row>
    <x:row r="83">
      <x:c r="B83" s="407" t="str">
        <x:v>Mark</x:v>
      </x:c>
      <x:c r="C83" s="407" t="str">
        <x:v>Method</x:v>
      </x:c>
      <x:c r="D83" s="407" t="str">
        <x:v>System</x:v>
      </x:c>
      <x:c r="E83" s="407" t="str">
        <x:v>h (ft)</x:v>
      </x:c>
      <x:c r="F83" s="407" t="str">
        <x:v>Σb (ft)</x:v>
      </x:c>
      <x:c r="G83" s="407" t="str">
        <x:v>vn (plf)</x:v>
      </x:c>
      <x:c r="H83" s="407" t="str">
        <x:v>vallow (plf)</x:v>
      </x:c>
      <x:c r="I83" s="407" t="str">
        <x:v>Demand v (plf)</x:v>
      </x:c>
      <x:c r="J83" s="407" t="str">
        <x:v>Status</x:v>
      </x:c>
    </x:row>
    <x:row r="84">
      <x:c r="B84" s="408" t="str">
        <x:f>IF('24_SHEAR_WALL'!C8="","",'24_SHEAR_WALL'!C8)</x:f>
      </x:c>
      <x:c r="C84" s="408" t="str">
        <x:f>IF('24_SHEAR_WALL'!C10="","",'24_SHEAR_WALL'!C10)</x:f>
      </x:c>
      <x:c r="D84" s="408" t="str">
        <x:f>IF('24_SHEAR_WALL'!C11="","",'24_SHEAR_WALL'!C11)</x:f>
      </x:c>
      <x:c r="E84" s="408" t="str">
        <x:f>IF('24_SHEAR_WALL'!C13="","",'24_SHEAR_WALL'!C13)</x:f>
      </x:c>
      <x:c r="F84" s="408" t="str">
        <x:f>IF('24_SHEAR_WALL'!C14="","",'24_SHEAR_WALL'!C14)</x:f>
      </x:c>
      <x:c r="G84" s="408" t="str">
        <x:f>IF('24_SHEAR_WALL'!C16="","",'24_SHEAR_WALL'!C16)</x:f>
      </x:c>
      <x:c r="H84" s="408" t="str">
        <x:f>IF('24_SHEAR_WALL'!C35="","",'24_SHEAR_WALL'!C35)</x:f>
      </x:c>
      <x:c r="I84" s="408" t="str">
        <x:f>IF('24_SHEAR_WALL'!C36="","",'24_SHEAR_WALL'!C36)</x:f>
      </x:c>
      <x:c r="J84" s="408" t="str">
        <x:f>IF('24_SHEAR_WALL'!I13="","",'24_SHEAR_WALL'!I13)</x:f>
        <x:v>PENDING</x:v>
      </x:c>
    </x:row>
    <x:row r="87">
      <x:c r="B87" s="391" t="str">
        <x:v>DIAPHRAGM SCHEDULE — PROTOTYPE OUTPUT</x:v>
      </x:c>
      <x:c r="C87" s="391"/>
      <x:c r="D87" s="391"/>
      <x:c r="E87" s="391"/>
      <x:c r="F87" s="391"/>
      <x:c r="G87" s="391"/>
      <x:c r="H87" s="391"/>
      <x:c r="I87" s="391"/>
      <x:c r="J87" s="391"/>
    </x:row>
    <x:row r="88">
      <x:c r="B88" s="407" t="str">
        <x:v>Mark</x:v>
      </x:c>
      <x:c r="C88" s="407" t="str">
        <x:v>Configuration</x:v>
      </x:c>
      <x:c r="D88" s="407" t="str">
        <x:v>L (ft)</x:v>
      </x:c>
      <x:c r="E88" s="407" t="str">
        <x:v>W (ft)</x:v>
      </x:c>
      <x:c r="F88" s="407" t="str">
        <x:v>vn (plf)</x:v>
      </x:c>
      <x:c r="G88" s="407" t="str">
        <x:v>vallow (plf)</x:v>
      </x:c>
      <x:c r="H88" s="407" t="str">
        <x:v>Demand v (plf)</x:v>
      </x:c>
      <x:c r="I88" s="407" t="str">
        <x:v>Chord Force (lb)</x:v>
      </x:c>
      <x:c r="J88" s="407" t="str">
        <x:v>Status</x:v>
      </x:c>
    </x:row>
    <x:row r="89">
      <x:c r="B89" s="408" t="str">
        <x:f>IF('25_DIAPHRAGM'!C8="","",'25_DIAPHRAGM'!C8)</x:f>
      </x:c>
      <x:c r="C89" s="408" t="str">
        <x:f>IF('25_DIAPHRAGM'!C10="","",'25_DIAPHRAGM'!C10)</x:f>
      </x:c>
      <x:c r="D89" s="408" t="str">
        <x:f>IF('25_DIAPHRAGM'!C12="","",'25_DIAPHRAGM'!C12)</x:f>
      </x:c>
      <x:c r="E89" s="408" t="str">
        <x:f>IF('25_DIAPHRAGM'!C13="","",'25_DIAPHRAGM'!C13)</x:f>
      </x:c>
      <x:c r="F89" s="408" t="str">
        <x:f>IF('25_DIAPHRAGM'!C14="","",'25_DIAPHRAGM'!C14)</x:f>
      </x:c>
      <x:c r="G89" s="408" t="str">
        <x:f>IF('25_DIAPHRAGM'!C33="","",'25_DIAPHRAGM'!C33)</x:f>
      </x:c>
      <x:c r="H89" s="408" t="str">
        <x:f>IF('25_DIAPHRAGM'!C11="","",'25_DIAPHRAGM'!C11)</x:f>
      </x:c>
      <x:c r="I89" s="408" t="str">
        <x:f>IF('25_DIAPHRAGM'!C37="","",'25_DIAPHRAGM'!C37)</x:f>
      </x:c>
      <x:c r="J89" s="408" t="str">
        <x:f>IF('25_DIAPHRAGM'!I13="","",'25_DIAPHRAGM'!I13)</x:f>
        <x:v>PENDING</x:v>
      </x:c>
    </x:row>
    <x:row r="92">
      <x:c r="B92" s="434" t="str">
        <x:v>CONNECTION SCHEDULE — PROTOTYPE OUTPUT</x:v>
      </x:c>
      <x:c r="C92" s="434"/>
      <x:c r="D92" s="434"/>
      <x:c r="E92" s="434"/>
      <x:c r="F92" s="434"/>
      <x:c r="G92" s="434"/>
      <x:c r="H92" s="434"/>
      <x:c r="I92" s="434"/>
      <x:c r="J92" s="434"/>
    </x:row>
    <x:row r="93">
      <x:c r="B93" s="450" t="str">
        <x:v>Mark</x:v>
      </x:c>
      <x:c r="C93" s="450" t="str">
        <x:v>Use</x:v>
      </x:c>
      <x:c r="D93" s="450" t="str">
        <x:v>Fastener</x:v>
      </x:c>
      <x:c r="E93" s="450" t="str">
        <x:v>Material Pair</x:v>
      </x:c>
      <x:c r="F93" s="450" t="str">
        <x:v>n</x:v>
      </x:c>
      <x:c r="G93" s="450" t="str">
        <x:v>Cg</x:v>
      </x:c>
      <x:c r="H93" s="450" t="str">
        <x:v>Lateral Cap (lb)</x:v>
      </x:c>
      <x:c r="I93" s="450" t="str">
        <x:v>Withdrawal Cap (lb)</x:v>
      </x:c>
      <x:c r="J93" s="450" t="str">
        <x:v>Status</x:v>
      </x:c>
    </x:row>
    <x:row r="94">
      <x:c r="B94" s="408" t="str">
        <x:f>IF('28_CONNECTIONS'!C8="","",'28_CONNECTIONS'!C8)</x:f>
      </x:c>
      <x:c r="C94" s="408" t="str">
        <x:f>IF('28_CONNECTIONS'!C9="","",'28_CONNECTIONS'!C9)</x:f>
      </x:c>
      <x:c r="D94" s="408" t="str">
        <x:f>IF('28_CONNECTIONS'!C11="","",'28_CONNECTIONS'!C11)</x:f>
      </x:c>
      <x:c r="E94" s="408" t="str">
        <x:f>IF('28_CONNECTIONS'!C10="","",'28_CONNECTIONS'!C10)</x:f>
      </x:c>
      <x:c r="F94" s="408" t="str">
        <x:f>IF('28_CONNECTIONS'!C16="","",'28_CONNECTIONS'!C16)</x:f>
      </x:c>
      <x:c r="G94" s="408" t="str">
        <x:f>IF('28_CONNECTIONS'!C36="","",'28_CONNECTIONS'!C36)</x:f>
      </x:c>
      <x:c r="H94" s="408" t="str">
        <x:f>IF('28_CONNECTIONS'!C42="","",'28_CONNECTIONS'!C42)</x:f>
      </x:c>
      <x:c r="I94" s="408" t="str">
        <x:f>IF('28_CONNECTIONS'!C45="","",'28_CONNECTIONS'!C45)</x:f>
      </x:c>
      <x:c r="J94" s="408" t="str">
        <x:f>IF('28_CONNECTIONS'!I13="","",'28_CONNECTIONS'!I13)</x:f>
        <x:v>PENDING</x:v>
      </x:c>
    </x:row>
    <x:row r="97">
      <x:c r="B97" s="434" t="str">
        <x:v>HOLDOWN / ANCHOR SCHEDULE — PROTOTYPE OUTPUT</x:v>
      </x:c>
      <x:c r="C97" s="434"/>
      <x:c r="D97" s="434"/>
      <x:c r="E97" s="434"/>
      <x:c r="F97" s="434"/>
      <x:c r="G97" s="434"/>
      <x:c r="H97" s="434"/>
      <x:c r="I97" s="434"/>
      <x:c r="J97" s="434"/>
    </x:row>
    <x:row r="98">
      <x:c r="B98" s="450" t="str">
        <x:v>Mark</x:v>
      </x:c>
      <x:c r="C98" s="450" t="str">
        <x:v>Type</x:v>
      </x:c>
      <x:c r="D98" s="450" t="str">
        <x:v>Associated Wall</x:v>
      </x:c>
      <x:c r="E98" s="450" t="str">
        <x:v>Demand (lb)</x:v>
      </x:c>
      <x:c r="F98" s="450" t="str">
        <x:v>Allowable (lb)</x:v>
      </x:c>
      <x:c r="G98" s="450" t="str">
        <x:v>D/C</x:v>
      </x:c>
      <x:c r="H98" s="450" t="str">
        <x:v>Deflection / Spacing</x:v>
      </x:c>
      <x:c r="I98" s="450" t="str">
        <x:v>Source</x:v>
      </x:c>
      <x:c r="J98" s="450" t="str">
        <x:v>Status</x:v>
      </x:c>
    </x:row>
    <x:row r="99">
      <x:c r="B99" s="408" t="str">
        <x:f>IF('29_HOLDOWN'!C8="","",'29_HOLDOWN'!C8)</x:f>
      </x:c>
      <x:c r="C99" s="408" t="str">
        <x:f>"HOLDOWN"</x:f>
        <x:v>HOLDOWN</x:v>
      </x:c>
      <x:c r="D99" s="408" t="str">
        <x:f>IF('29_HOLDOWN'!C9="","",'29_HOLDOWN'!C9)</x:f>
      </x:c>
      <x:c r="E99" s="408" t="str">
        <x:f>IF('29_HOLDOWN'!C11="","",'29_HOLDOWN'!C11)</x:f>
      </x:c>
      <x:c r="F99" s="408" t="str">
        <x:f>IF('29_HOLDOWN'!C29="","",'29_HOLDOWN'!C29)</x:f>
      </x:c>
      <x:c r="G99" s="408" t="str">
        <x:f>IF('29_HOLDOWN'!C30="","",'29_HOLDOWN'!C30)</x:f>
      </x:c>
      <x:c r="H99" s="408" t="str">
        <x:f>IF('29_HOLDOWN'!C36="","",'29_HOLDOWN'!C36)</x:f>
      </x:c>
      <x:c r="I99" s="408" t="str">
        <x:f>IF('29_HOLDOWN'!C20="","",'29_HOLDOWN'!C20)</x:f>
      </x:c>
      <x:c r="J99" s="408" t="str">
        <x:f>IF('29_HOLDOWN'!I13="","",'29_HOLDOWN'!I13)</x:f>
        <x:v>PENDING</x:v>
      </x:c>
    </x:row>
    <x:row r="100">
      <x:c r="B100" s="408" t="str">
        <x:f>IF('30_SILL_ANCHOR'!C8="","",'30_SILL_ANCHOR'!C8)</x:f>
      </x:c>
      <x:c r="C100" s="408" t="str">
        <x:f>"ANCHOR LINE"</x:f>
        <x:v>ANCHOR LINE</x:v>
      </x:c>
      <x:c r="D100" s="408" t="str">
        <x:f>IF('30_SILL_ANCHOR'!C9="","",'30_SILL_ANCHOR'!C9)</x:f>
      </x:c>
      <x:c r="E100" s="408" t="str">
        <x:f>IF('30_SILL_ANCHOR'!C11="","",'30_SILL_ANCHOR'!C11)</x:f>
      </x:c>
      <x:c r="F100" s="408" t="str">
        <x:f>IF('30_SILL_ANCHOR'!C29="","",'30_SILL_ANCHOR'!C29)</x:f>
      </x:c>
      <x:c r="G100" s="408" t="str">
        <x:f>IF('30_SILL_ANCHOR'!C38="","",'30_SILL_ANCHOR'!C38)</x:f>
      </x:c>
      <x:c r="H100" s="408" t="str">
        <x:f>IF('30_SILL_ANCHOR'!C36="","",'30_SILL_ANCHOR'!C36)</x:f>
      </x:c>
      <x:c r="I100" s="408" t="str">
        <x:f>IF('30_SILL_ANCHOR'!C19="","",'30_SILL_ANCHOR'!C19)</x:f>
      </x:c>
      <x:c r="J100" s="408" t="str">
        <x:f>IF('30_SILL_ANCHOR'!I13="","",'30_SILL_ANCHOR'!I13)</x:f>
        <x:v>PENDING</x:v>
      </x:c>
    </x:row>
    <x:row r="103">
      <x:c r="B103" s="434" t="str">
        <x:v>COLLECTOR / CHORD SCHEDULE — PROTOTYPE OUTPUT</x:v>
      </x:c>
      <x:c r="C103" s="434"/>
      <x:c r="D103" s="434"/>
      <x:c r="E103" s="434"/>
      <x:c r="F103" s="434"/>
      <x:c r="G103" s="434"/>
      <x:c r="H103" s="434"/>
      <x:c r="I103" s="434"/>
      <x:c r="J103" s="434"/>
    </x:row>
    <x:row r="104">
      <x:c r="B104" s="450" t="str">
        <x:v>Mark</x:v>
      </x:c>
      <x:c r="C104" s="450" t="str">
        <x:v>Use</x:v>
      </x:c>
      <x:c r="D104" s="450" t="str">
        <x:v>Axial Demand</x:v>
      </x:c>
      <x:c r="E104" s="450" t="str">
        <x:v>Member Cap</x:v>
      </x:c>
      <x:c r="F104" s="450" t="str">
        <x:v>Member D/C</x:v>
      </x:c>
      <x:c r="G104" s="450" t="str">
        <x:v>Splice Demand</x:v>
      </x:c>
      <x:c r="H104" s="450" t="str">
        <x:v>Connection Cap</x:v>
      </x:c>
      <x:c r="I104" s="450" t="str">
        <x:v>Connection D/C</x:v>
      </x:c>
      <x:c r="J104" s="450" t="str">
        <x:v>Status</x:v>
      </x:c>
    </x:row>
    <x:row r="105">
      <x:c r="B105" s="408" t="str">
        <x:f>IF('31_COLLECTOR_CHORD'!C8="","",'31_COLLECTOR_CHORD'!C8)</x:f>
      </x:c>
      <x:c r="C105" s="408" t="str">
        <x:f>IF('31_COLLECTOR_CHORD'!C9="","",'31_COLLECTOR_CHORD'!C9)</x:f>
      </x:c>
      <x:c r="D105" s="408" t="str">
        <x:f>IF('31_COLLECTOR_CHORD'!C10="","",'31_COLLECTOR_CHORD'!C10)</x:f>
      </x:c>
      <x:c r="E105" s="408" t="str">
        <x:f>IF('31_COLLECTOR_CHORD'!C21="","",'31_COLLECTOR_CHORD'!C21)</x:f>
      </x:c>
      <x:c r="F105" s="408" t="str">
        <x:f>IF('31_COLLECTOR_CHORD'!C22="","",'31_COLLECTOR_CHORD'!C22)</x:f>
      </x:c>
      <x:c r="G105" s="408" t="str">
        <x:f>IF('31_COLLECTOR_CHORD'!C12="","",'31_COLLECTOR_CHORD'!C12)</x:f>
      </x:c>
      <x:c r="H105" s="408" t="str">
        <x:f>IF('31_COLLECTOR_CHORD'!C23="","",'31_COLLECTOR_CHORD'!C23)</x:f>
      </x:c>
      <x:c r="I105" s="408" t="str">
        <x:f>IF('31_COLLECTOR_CHORD'!C24="","",'31_COLLECTOR_CHORD'!C24)</x:f>
      </x:c>
      <x:c r="J105" s="408" t="str">
        <x:f>IF('31_COLLECTOR_CHORD'!I12="","",'31_COLLECTOR_CHORD'!I12)</x:f>
        <x:v>PENDING</x:v>
      </x:c>
    </x:row>
    <x:row r="108">
      <x:c r="B108" s="533" t="str">
        <x:v>FOUNDATION SCHEDULE — PROTOTYPE OUTPUT</x:v>
      </x:c>
      <x:c r="C108" s="533"/>
      <x:c r="D108" s="533"/>
      <x:c r="E108" s="533"/>
      <x:c r="F108" s="533"/>
      <x:c r="G108" s="533"/>
      <x:c r="H108" s="533"/>
      <x:c r="I108" s="533"/>
      <x:c r="J108" s="533"/>
    </x:row>
    <x:row r="109">
      <x:c r="B109" s="480" t="str">
        <x:v>Mark</x:v>
      </x:c>
      <x:c r="C109" s="480" t="str">
        <x:v>Type</x:v>
      </x:c>
      <x:c r="D109" s="480" t="str">
        <x:v>B (ft)</x:v>
      </x:c>
      <x:c r="E109" s="480" t="str">
        <x:v>L (ft)</x:v>
      </x:c>
      <x:c r="F109" s="480" t="str">
        <x:v>t (in)</x:v>
      </x:c>
      <x:c r="G109" s="480" t="str">
        <x:v>P Service (k)</x:v>
      </x:c>
      <x:c r="H109" s="480" t="str">
        <x:v>qmax (ksf)</x:v>
      </x:c>
      <x:c r="I109" s="480" t="str">
        <x:v>Bearing D/C</x:v>
      </x:c>
      <x:c r="J109" s="480" t="str">
        <x:v>Status</x:v>
      </x:c>
    </x:row>
    <x:row r="110">
      <x:c r="B110" s="408" t="str">
        <x:f>IF('36_FOUNDATION'!C8="","",'36_FOUNDATION'!C8)</x:f>
      </x:c>
      <x:c r="C110" s="408" t="str">
        <x:f>IF('36_FOUNDATION'!C9="","",'36_FOUNDATION'!C9)</x:f>
      </x:c>
      <x:c r="D110" s="408" t="str">
        <x:f>IF('36_FOUNDATION'!C13="","",'36_FOUNDATION'!C13)</x:f>
      </x:c>
      <x:c r="E110" s="408" t="str">
        <x:f>IF('36_FOUNDATION'!C14="","",'36_FOUNDATION'!C14)</x:f>
      </x:c>
      <x:c r="F110" s="408" t="str">
        <x:f>IF('36_FOUNDATION'!C15="","",'36_FOUNDATION'!C15)</x:f>
      </x:c>
      <x:c r="G110" s="408" t="str">
        <x:f>IF('36_FOUNDATION'!C10="","",'36_FOUNDATION'!C10)</x:f>
      </x:c>
      <x:c r="H110" s="408" t="str">
        <x:f>IF('36_FOUNDATION'!C41="","",'36_FOUNDATION'!C41)</x:f>
      </x:c>
      <x:c r="I110" s="408" t="str">
        <x:f>IF('36_FOUNDATION'!C43="","",'36_FOUNDATION'!C43)</x:f>
      </x:c>
      <x:c r="J110" s="408" t="str">
        <x:f>IF('36_FOUNDATION'!I14="","",'36_FOUNDATION'!I14)</x:f>
        <x:v>PENDING</x:v>
      </x:c>
    </x:row>
  </x:sheetData>
  <x:mergeCells>
    <x:mergeCell ref="B2:J2"/>
    <x:mergeCell ref="B4:J4"/>
    <x:mergeCell ref="B6:F6"/>
    <x:mergeCell ref="B19:J19"/>
    <x:mergeCell ref="B25:J25"/>
    <x:mergeCell ref="B32:J32"/>
    <x:mergeCell ref="B36:J36"/>
    <x:mergeCell ref="B48:J48"/>
    <x:mergeCell ref="B67:J67"/>
  </x:mergeCells>
  <x:conditionalFormatting sqref="J80:J80">
    <x:cfRule type="expression" dxfId="89" priority="1">
      <x:formula>J80="PASS"</x:formula>
    </x:cfRule>
    <x:cfRule type="expression" dxfId="90" priority="2">
      <x:formula>J80="FAIL"</x:formula>
    </x:cfRule>
    <x:cfRule type="expression" dxfId="91" priority="3">
      <x:formula>OR(J80="REVIEW",J80="PENDING")</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2" max="2" width="18" hidden="0" customWidth="1"/>
    <x:col min="3" max="3" width="24" hidden="0" customWidth="1"/>
    <x:col min="4" max="4" width="26" hidden="0" customWidth="1"/>
    <x:col min="5" max="5" width="30" hidden="0" customWidth="1"/>
    <x:col min="6" max="6" width="16" hidden="0" customWidth="1"/>
    <x:col min="7" max="7" width="22" hidden="0" customWidth="1"/>
    <x:col min="8" max="8" width="28" hidden="0" customWidth="1"/>
    <x:col min="9" max="9" width="30" hidden="0" customWidth="1"/>
    <x:col min="10" max="10" width="18" hidden="0" customWidth="1"/>
  </x:cols>
  <x:sheetData>
    <x:row r="2">
      <x:c r="B2" s="134" t="str">
        <x:v>AUTOCAD INTEGRATION CONTRACT</x:v>
      </x:c>
      <x:c r="C2" s="134"/>
      <x:c r="D2" s="134"/>
      <x:c r="E2" s="134"/>
      <x:c r="F2" s="134"/>
      <x:c r="G2" s="134"/>
      <x:c r="H2" s="134"/>
      <x:c r="I2" s="134"/>
      <x:c r="J2" s="134"/>
    </x:row>
    <x:row r="4">
      <x:c r="B4" s="141" t="str">
        <x:v>Output ID</x:v>
      </x:c>
      <x:c r="C4" s="141" t="str">
        <x:v>Workbook Range</x:v>
      </x:c>
      <x:c r="D4" s="141" t="str">
        <x:v>AutoCAD Target</x:v>
      </x:c>
      <x:c r="E4" s="141" t="str">
        <x:v>Preferred Mechanism</x:v>
      </x:c>
      <x:c r="F4" s="141" t="str">
        <x:v>Update Direction</x:v>
      </x:c>
      <x:c r="G4" s="141" t="str">
        <x:v>Stable Key</x:v>
      </x:c>
      <x:c r="H4" s="141" t="str">
        <x:v>Plugin Action</x:v>
      </x:c>
      <x:c r="I4" s="141" t="str">
        <x:v>Web/App Endpoint</x:v>
      </x:c>
      <x:c r="J4" s="141" t="str">
        <x:v>Fallback</x:v>
      </x:c>
      <x:c r="K4" t="str">
        <x:v>Notes</x:v>
      </x:c>
    </x:row>
    <x:row r="5">
      <x:c r="B5" s="142" t="str">
        <x:v>S1_DESIGN_CRITERIA</x:v>
      </x:c>
      <x:c r="C5" s="142" t="str">
        <x:v>11_CAD_OUTPUT!B7:F16</x:v>
      </x:c>
      <x:c r="D5" s="142" t="str">
        <x:v>S1 design criteria table</x:v>
      </x:c>
      <x:c r="E5" s="142" t="str">
        <x:v>AutoCAD Table / DataLink or .NET table population</x:v>
      </x:c>
      <x:c r="F5" s="142" t="str">
        <x:v>App → DWG</x:v>
      </x:c>
      <x:c r="G5" s="142" t="str">
        <x:v>S1_DESIGN_CRITERIA</x:v>
      </x:c>
      <x:c r="H5" s="142" t="str">
        <x:v>Refresh/create table</x:v>
      </x:c>
      <x:c r="I5" s="142" t="str">
        <x:v>/projects/{id}/cad/design-criteria</x:v>
      </x:c>
      <x:c r="J5" s="142" t="str">
        <x:v>CSV/XLSX</x:v>
      </x:c>
      <x:c r="K5" t="str">
        <x:v>Use stable table name or extension dictionary key.</x:v>
      </x:c>
    </x:row>
    <x:row r="6">
      <x:c r="B6" s="142" t="str">
        <x:v>BEAM_SCHEDULE</x:v>
      </x:c>
      <x:c r="C6" s="142" t="str">
        <x:v>11_CAD_OUTPUT!B20:J21</x:v>
      </x:c>
      <x:c r="D6" s="142" t="str">
        <x:v>Structural beam schedule</x:v>
      </x:c>
      <x:c r="E6" s="142" t="str">
        <x:v>AutoCAD Table populated by .NET plugin</x:v>
      </x:c>
      <x:c r="F6" s="142" t="str">
        <x:v>App → DWG</x:v>
      </x:c>
      <x:c r="G6" s="142" t="str">
        <x:v>BEAM_SCHEDULE</x:v>
      </x:c>
      <x:c r="H6" s="142" t="str">
        <x:v>Refresh rows / preserve style</x:v>
      </x:c>
      <x:c r="I6" s="142" t="str">
        <x:v>/projects/{id}/cad/beam-schedule</x:v>
      </x:c>
      <x:c r="J6" s="142" t="str">
        <x:v>Excel DataLink</x:v>
      </x:c>
      <x:c r="K6" t="str">
        <x:v>Prefer API population once web app is source of truth.</x:v>
      </x:c>
    </x:row>
    <x:row r="7">
      <x:c r="B7" s="142" t="str">
        <x:v>GENERAL_NOTES</x:v>
      </x:c>
      <x:c r="C7" s="142" t="str">
        <x:v>11_CAD_OUTPUT!B26:J30</x:v>
      </x:c>
      <x:c r="D7" s="142" t="str">
        <x:v>G1/S1 note blocks</x:v>
      </x:c>
      <x:c r="E7" s="142" t="str">
        <x:v>Attributed MText/block or table</x:v>
      </x:c>
      <x:c r="F7" s="142" t="str">
        <x:v>App → DWG</x:v>
      </x:c>
      <x:c r="G7" s="142" t="str">
        <x:v>GENERAL_NOTES</x:v>
      </x:c>
      <x:c r="H7" s="142" t="str">
        <x:v>Replace generated-note region</x:v>
      </x:c>
      <x:c r="I7" s="142" t="str">
        <x:v>/projects/{id}/cad/general-notes</x:v>
      </x:c>
      <x:c r="J7" s="142" t="str">
        <x:v>Linked table</x:v>
      </x:c>
      <x:c r="K7" t="str">
        <x:v>Manual notes remain outside generated-note region.</x:v>
      </x:c>
    </x:row>
    <x:row r="8">
      <x:c r="B8" s="142" t="str">
        <x:v>TITLE_PROJECT</x:v>
      </x:c>
      <x:c r="C8" s="142" t="str">
        <x:v>01_INPUTS!C6:C15</x:v>
      </x:c>
      <x:c r="D8" s="142" t="str">
        <x:v>Title block attributes</x:v>
      </x:c>
      <x:c r="E8" s="142" t="str">
        <x:v>Block attributes / fields</x:v>
      </x:c>
      <x:c r="F8" s="142" t="str">
        <x:v>App → DWG</x:v>
      </x:c>
      <x:c r="G8" s="142" t="str">
        <x:v>TITLE_PROJECT</x:v>
      </x:c>
      <x:c r="H8" s="142" t="str">
        <x:v>Update attributes</x:v>
      </x:c>
      <x:c r="I8" s="142" t="str">
        <x:v>/projects/{id}/cad/title</x:v>
      </x:c>
      <x:c r="J8" s="142" t="str">
        <x:v>Script</x:v>
      </x:c>
      <x:c r="K8" t="str">
        <x:v>Map project number, date, address, client, etc.</x:v>
      </x:c>
    </x:row>
    <x:row r="9">
      <x:c r="B9" s="142" t="str">
        <x:v>DRAWING_INVENTORY</x:v>
      </x:c>
      <x:c r="C9" s="142" t="str">
        <x:v>DWG model/layout data</x:v>
      </x:c>
      <x:c r="D9" s="142" t="str">
        <x:v>Report / model reconciliation</x:v>
      </x:c>
      <x:c r="E9" s="142" t="str">
        <x:v>Data Extraction / .NET</x:v>
      </x:c>
      <x:c r="F9" s="142" t="str">
        <x:v>DWG → App</x:v>
      </x:c>
      <x:c r="G9" s="142" t="str">
        <x:v>DRAWING_INVENTORY</x:v>
      </x:c>
      <x:c r="H9" s="142" t="str">
        <x:v>Extract blocks/attributes</x:v>
      </x:c>
      <x:c r="I9" s="142" t="str">
        <x:v>/projects/{id}/cad/extract</x:v>
      </x:c>
      <x:c r="J9" s="142" t="str">
        <x:v>DXEX/CSV</x:v>
      </x:c>
      <x:c r="K9" t="str">
        <x:v>Used to verify drawing objects match calculation schedules.</x:v>
      </x:c>
    </x:row>
    <x:row r="10">
      <x:c r="B10" s="142" t="str">
        <x:v>CAD-LC-01</x:v>
      </x:c>
      <x:c r="C10" s="142" t="str">
        <x:v>Load Combination Basis</x:v>
      </x:c>
      <x:c r="D10" s="142" t="str">
        <x:v>11_CAD_OUTPUT!B33:J34</x:v>
      </x:c>
      <x:c r="E10" s="142" t="str">
        <x:v>TABLE</x:v>
      </x:c>
      <x:c r="F10" s="142" t="str">
        <x:v>S1</x:v>
      </x:c>
      <x:c r="G10" s="142" t="str">
        <x:v>S1_LOAD_COMBINATION_BASIS</x:v>
      </x:c>
      <x:c r="H10" s="142" t="str">
        <x:v>Update data link / API</x:v>
      </x:c>
      <x:c r="I10" s="142" t="str">
        <x:v>Design method or code edition changes</x:v>
      </x:c>
      <x:c r="J10" s="142" t="str">
        <x:v>Controlled output</x:v>
      </x:c>
      <x:c r="K10" s="142" t="str">
        <x:v>ACTIVE</x:v>
      </x:c>
    </x:row>
    <x:row r="11">
      <x:c r="B11" s="142" t="str">
        <x:v>CAD-LC-02</x:v>
      </x:c>
      <x:c r="C11" s="142" t="str">
        <x:v>Selected Longhand Combo</x:v>
      </x:c>
      <x:c r="D11" s="142" t="str">
        <x:v>15_LONGHAND_COMBOS!B8:J29</x:v>
      </x:c>
      <x:c r="E11" s="142" t="str">
        <x:v>REPORT/DETAIL</x:v>
      </x:c>
      <x:c r="F11" s="142" t="str">
        <x:v>CALCS</x:v>
      </x:c>
      <x:c r="G11" s="142" t="str">
        <x:v>LOAD_COMBO_LONGHAND</x:v>
      </x:c>
      <x:c r="H11" s="142" t="str">
        <x:v>PDF/report output</x:v>
      </x:c>
      <x:c r="I11" s="142" t="str">
        <x:v>Selected combo changes</x:v>
      </x:c>
      <x:c r="J11" s="142" t="str">
        <x:v>Calculation trace</x:v>
      </x:c>
      <x:c r="K11" s="142" t="str">
        <x:v>ACTIVE</x:v>
      </x:c>
    </x:row>
    <x:row r="12">
      <x:c r="B12" s="142" t="str">
        <x:v>CAD-LC-03</x:v>
      </x:c>
      <x:c r="C12" s="142" t="str">
        <x:v>Load Combination Matrix</x:v>
      </x:c>
      <x:c r="D12" s="142" t="str">
        <x:v>14_LOAD_COMBOS!B16:Q65</x:v>
      </x:c>
      <x:c r="E12" s="142" t="str">
        <x:v>DATA</x:v>
      </x:c>
      <x:c r="F12" s="142" t="str">
        <x:v>APP</x:v>
      </x:c>
      <x:c r="G12" s="142" t="str">
        <x:v>LOAD_COMBO_MATRIX</x:v>
      </x:c>
      <x:c r="H12" s="142" t="str">
        <x:v>API / JSON export</x:v>
      </x:c>
      <x:c r="I12" s="142" t="str">
        <x:v>ASCE edition changes</x:v>
      </x:c>
      <x:c r="J12" s="142" t="str">
        <x:v>App engine contract</x:v>
      </x:c>
      <x:c r="K12" s="142" t="str">
        <x:v>ACTIVE</x:v>
      </x:c>
    </x:row>
    <x:row r="13">
      <x:c r="B13" s="142" t="str">
        <x:v>CAD-LC-04</x:v>
      </x:c>
      <x:c r="C13" s="142" t="str">
        <x:v>Load Combo QA</x:v>
      </x:c>
      <x:c r="D13" s="142" t="str">
        <x:v>05_QA_VALIDATION!B29:I80</x:v>
      </x:c>
      <x:c r="E13" s="142" t="str">
        <x:v>QA</x:v>
      </x:c>
      <x:c r="F13" s="142" t="str">
        <x:v>APP</x:v>
      </x:c>
      <x:c r="G13" s="142" t="str">
        <x:v>LOAD_COMBO_QA</x:v>
      </x:c>
      <x:c r="H13" s="142" t="str">
        <x:v>Issue package</x:v>
      </x:c>
      <x:c r="I13" s="142" t="str">
        <x:v>Engine/version changes</x:v>
      </x:c>
      <x:c r="J13" s="142" t="str">
        <x:v>Validation evidence</x:v>
      </x:c>
      <x:c r="K13" s="142" t="str">
        <x:v>ACTIVE</x:v>
      </x:c>
    </x:row>
    <x:row r="15">
      <x:c r="B15" t="str">
        <x:v>CAD-S-01</x:v>
      </x:c>
      <x:c r="C15" t="str">
        <x:v>11_CAD_OUTPUT!B49:F65</x:v>
      </x:c>
      <x:c r="D15" t="str">
        <x:v>S1 seismic criteria table</x:v>
      </x:c>
      <x:c r="E15" t="str">
        <x:v>AutoCAD Table / .NET population</x:v>
      </x:c>
      <x:c r="F15" t="str">
        <x:v>App → DWG</x:v>
      </x:c>
      <x:c r="G15" t="str">
        <x:v>S1_SEISMIC_DESIGN_CRITERIA</x:v>
      </x:c>
      <x:c r="H15" t="str">
        <x:v>Refresh/create table</x:v>
      </x:c>
      <x:c r="I15" t="str">
        <x:v>/projects/{id}/cad/seismic-criteria</x:v>
      </x:c>
      <x:c r="J15" t="str">
        <x:v>Excel DataLink</x:v>
      </x:c>
      <x:c r="K15" t="str">
        <x:v>Stable output; calculations remain on 18_SEISMIC.</x:v>
      </x:c>
    </x:row>
    <x:row r="16">
      <x:c r="B16" t="str">
        <x:v>CAD-S-02</x:v>
      </x:c>
      <x:c r="C16" t="str">
        <x:v>18_SEISMIC!B53:K70</x:v>
      </x:c>
      <x:c r="D16" t="str">
        <x:v>Seismic story force data</x:v>
      </x:c>
      <x:c r="E16" t="str">
        <x:v>API / data object</x:v>
      </x:c>
      <x:c r="F16" t="str">
        <x:v>App → DWG</x:v>
      </x:c>
      <x:c r="G16" t="str">
        <x:v>SEISMIC_STORY_FORCES</x:v>
      </x:c>
      <x:c r="H16" t="str">
        <x:v>Update lateral schedules</x:v>
      </x:c>
      <x:c r="I16" t="str">
        <x:v>/projects/{id}/cad/seismic-story-forces</x:v>
      </x:c>
      <x:c r="J16" t="str">
        <x:v>CSV</x:v>
      </x:c>
      <x:c r="K16" t="str">
        <x:v>Use once diaphragm/shear-wall plan integration is active.</x:v>
      </x:c>
    </x:row>
    <x:row r="17">
      <x:c r="B17" t="str">
        <x:v>CAD-S-03</x:v>
      </x:c>
      <x:c r="C17" t="str">
        <x:v>19_LONGHAND_SEISMIC!B8:I68</x:v>
      </x:c>
      <x:c r="D17" t="str">
        <x:v>Calculation appendix/report</x:v>
      </x:c>
      <x:c r="E17" t="str">
        <x:v>PDF/report export</x:v>
      </x:c>
      <x:c r="F17" t="str">
        <x:v>App → CALCS</x:v>
      </x:c>
      <x:c r="G17" t="str">
        <x:v>SEISMIC_LONGHAND</x:v>
      </x:c>
      <x:c r="H17" t="str">
        <x:v>Generate calculation pages</x:v>
      </x:c>
      <x:c r="I17" t="str">
        <x:v>/projects/{id}/reports/seismic</x:v>
      </x:c>
      <x:c r="J17" t="str">
        <x:v>XLSX/PDF</x:v>
      </x:c>
      <x:c r="K17" t="str">
        <x:v>Not intended as a drawing table.</x:v>
      </x:c>
    </x:row>
    <x:row r="18">
      <x:c r="B18" t="str">
        <x:v>CAD-S-04</x:v>
      </x:c>
      <x:c r="C18" t="str">
        <x:v>18_SEISMIC!G80</x:v>
      </x:c>
      <x:c r="D18" t="str">
        <x:v>QA / mismatch gate</x:v>
      </x:c>
      <x:c r="E18" t="str">
        <x:v>Plugin validation status</x:v>
      </x:c>
      <x:c r="F18" t="str">
        <x:v>Bi-directional</x:v>
      </x:c>
      <x:c r="G18" t="str">
        <x:v>SEISMIC_QA</x:v>
      </x:c>
      <x:c r="H18" t="str">
        <x:v>Warn/block stale drawing refresh</x:v>
      </x:c>
      <x:c r="I18" t="str">
        <x:v>/projects/{id}/qa/seismic</x:v>
      </x:c>
      <x:c r="J18" t="str">
        <x:v>Manual review</x:v>
      </x:c>
      <x:c r="K18" t="str">
        <x:v>Do not publish CAD updates from a CHECK state.</x:v>
      </x:c>
    </x:row>
    <x:row r="19">
      <x:c r="B19" t="str">
        <x:v>COLUMN_SCHEDULE</x:v>
      </x:c>
      <x:c r="C19" t="str">
        <x:v>11_CAD_OUTPUT!B79:J80</x:v>
      </x:c>
      <x:c r="D19" t="str">
        <x:v>AutoCAD Table / API object</x:v>
      </x:c>
      <x:c r="E19" t="str">
        <x:v>S1 / framing sheets</x:v>
      </x:c>
      <x:c r="F19" t="str">
        <x:v>Column/post schedule</x:v>
      </x:c>
      <x:c r="G19" t="str">
        <x:v>Report calculation + inputs</x:v>
      </x:c>
      <x:c r="H19" t="str">
        <x:v>On project recalculation</x:v>
      </x:c>
      <x:c r="I19" t="str">
        <x:v>Yes</x:v>
      </x:c>
      <x:c r="J19" t="str">
        <x:v>Project-controlled</x:v>
      </x:c>
      <x:c r="K19" t="str">
        <x:v>Prototype stable range</x:v>
      </x:c>
    </x:row>
    <x:row r="20">
      <x:c r="B20" s="408" t="str">
        <x:v>SHEAR_WALL_SCHEDULE</x:v>
      </x:c>
      <x:c r="C20" s="408" t="str">
        <x:v>11_CAD_OUTPUT!B82:J84</x:v>
      </x:c>
      <x:c r="D20" s="408" t="str">
        <x:v>AutoCAD structural shear-wall schedule</x:v>
      </x:c>
      <x:c r="E20" s="408" t="str">
        <x:v>AutoCAD Table / .NET plugin</x:v>
      </x:c>
      <x:c r="F20" s="408" t="str">
        <x:v>App → DWG</x:v>
      </x:c>
      <x:c r="G20" s="408" t="str">
        <x:v>SHEAR_WALL_SCHEDULE</x:v>
      </x:c>
      <x:c r="H20" s="408" t="str">
        <x:v>Refresh rows / preserve style</x:v>
      </x:c>
      <x:c r="I20" s="408" t="str">
        <x:v>/projects/{id}/cad/shear-walls</x:v>
      </x:c>
      <x:c r="J20" s="408" t="str">
        <x:v>Excel DataLink</x:v>
      </x:c>
      <x:c r="K20" s="408" t="str">
        <x:v>Publish only when lateral QA gate is clear.</x:v>
      </x:c>
    </x:row>
    <x:row r="21">
      <x:c r="B21" s="408" t="str">
        <x:v>DIAPHRAGM_SCHEDULE</x:v>
      </x:c>
      <x:c r="C21" s="408" t="str">
        <x:v>11_CAD_OUTPUT!B87:J89</x:v>
      </x:c>
      <x:c r="D21" s="408" t="str">
        <x:v>AutoCAD diaphragm schedule / S1 criteria</x:v>
      </x:c>
      <x:c r="E21" s="408" t="str">
        <x:v>AutoCAD Table / .NET plugin</x:v>
      </x:c>
      <x:c r="F21" s="408" t="str">
        <x:v>App → DWG</x:v>
      </x:c>
      <x:c r="G21" s="408" t="str">
        <x:v>DIAPHRAGM_SCHEDULE</x:v>
      </x:c>
      <x:c r="H21" s="408" t="str">
        <x:v>Refresh rows / preserve style</x:v>
      </x:c>
      <x:c r="I21" s="408" t="str">
        <x:v>/projects/{id}/cad/diaphragms</x:v>
      </x:c>
      <x:c r="J21" s="408" t="str">
        <x:v>Excel DataLink</x:v>
      </x:c>
      <x:c r="K21" s="408" t="str">
        <x:v>Stable CAD-facing contract.</x:v>
      </x:c>
    </x:row>
    <x:row r="22">
      <x:c r="B22" s="408" t="str">
        <x:v>LATERAL_INPUTS</x:v>
      </x:c>
      <x:c r="C22" s="408" t="str">
        <x:v>01_INPUTS!B172:E209</x:v>
      </x:c>
      <x:c r="D22" s="408" t="str">
        <x:v>Web/app lateral input contract</x:v>
      </x:c>
      <x:c r="E22" s="408" t="str">
        <x:v>API / JSON object</x:v>
      </x:c>
      <x:c r="F22" s="408" t="str">
        <x:v>App ↔ Workbook</x:v>
      </x:c>
      <x:c r="G22" s="408" t="str">
        <x:v>LATERAL_INPUTS</x:v>
      </x:c>
      <x:c r="H22" s="408" t="str">
        <x:v>Read/write controlled fields</x:v>
      </x:c>
      <x:c r="I22" s="408" t="str">
        <x:v>/projects/{id}/lateral/inputs</x:v>
      </x:c>
      <x:c r="J22" s="408" t="str">
        <x:v>XLSX</x:v>
      </x:c>
      <x:c r="K22" s="408" t="str">
        <x:v>Source records must travel with values.</x:v>
      </x:c>
    </x:row>
    <x:row r="23">
      <x:c r="B23" s="408" t="str">
        <x:v>LATERAL_QA</x:v>
      </x:c>
      <x:c r="C23" s="408" t="str">
        <x:v>24_SHEAR_WALL!H7:I13;25_DIAPHRAGM!H7:I13</x:v>
      </x:c>
      <x:c r="D23" s="408" t="str">
        <x:v>Drawing publication QA gate</x:v>
      </x:c>
      <x:c r="E23" s="408" t="str">
        <x:v>Plugin validation status</x:v>
      </x:c>
      <x:c r="F23" s="408" t="str">
        <x:v>App → DWG</x:v>
      </x:c>
      <x:c r="G23" s="408" t="str">
        <x:v>LATERAL_QA</x:v>
      </x:c>
      <x:c r="H23" s="408" t="str">
        <x:v>Warn/block stale schedule updates</x:v>
      </x:c>
      <x:c r="I23" s="408" t="str">
        <x:v>/projects/{id}/qa/lateral</x:v>
      </x:c>
      <x:c r="J23" s="408" t="str">
        <x:v>Manual review</x:v>
      </x:c>
      <x:c r="K23" s="408" t="str">
        <x:v>Do not publish FAIL/PENDING calculations.</x:v>
      </x:c>
    </x:row>
    <x:row r="24">
      <x:c r="B24" s="408" t="str">
        <x:v>SHEAR_WALL_LONGHAND</x:v>
      </x:c>
      <x:c r="C24" s="408" t="str">
        <x:v>26_LONGHAND_SHEAR!B2:H25</x:v>
      </x:c>
      <x:c r="D24" s="408" t="str">
        <x:v>Calculation appendix</x:v>
      </x:c>
      <x:c r="E24" s="408" t="str">
        <x:v>PDF/report export</x:v>
      </x:c>
      <x:c r="F24" s="408" t="str">
        <x:v>App → CALCS</x:v>
      </x:c>
      <x:c r="G24" s="408" t="str">
        <x:v>SHEAR_WALL_LONGHAND</x:v>
      </x:c>
      <x:c r="H24" s="408" t="str">
        <x:v>Generate calculation page</x:v>
      </x:c>
      <x:c r="I24" s="408" t="str">
        <x:v>/projects/{id}/reports/shear-wall</x:v>
      </x:c>
      <x:c r="J24" s="408" t="str">
        <x:v>XLSX/PDF</x:v>
      </x:c>
      <x:c r="K24" s="408" t="str">
        <x:v>Not intended as drawing table.</x:v>
      </x:c>
    </x:row>
    <x:row r="25">
      <x:c r="B25" s="408" t="str">
        <x:v>DIAPHRAGM_LONGHAND</x:v>
      </x:c>
      <x:c r="C25" s="408" t="str">
        <x:v>27_LONGHAND_DIAPH!B2:H24</x:v>
      </x:c>
      <x:c r="D25" s="408" t="str">
        <x:v>Calculation appendix</x:v>
      </x:c>
      <x:c r="E25" s="408" t="str">
        <x:v>PDF/report export</x:v>
      </x:c>
      <x:c r="F25" s="408" t="str">
        <x:v>App → CALCS</x:v>
      </x:c>
      <x:c r="G25" s="408" t="str">
        <x:v>DIAPHRAGM_LONGHAND</x:v>
      </x:c>
      <x:c r="H25" s="408" t="str">
        <x:v>Generate calculation page</x:v>
      </x:c>
      <x:c r="I25" s="408" t="str">
        <x:v>/projects/{id}/reports/diaphragm</x:v>
      </x:c>
      <x:c r="J25" s="408" t="str">
        <x:v>XLSX/PDF</x:v>
      </x:c>
      <x:c r="K25" s="408" t="str">
        <x:v>Not intended as drawing table.</x:v>
      </x:c>
    </x:row>
    <x:row r="26">
      <x:c r="B26" s="408" t="str">
        <x:v>CONNECTION_SCHEDULE</x:v>
      </x:c>
      <x:c r="C26" s="408" t="str">
        <x:v>11_CAD_OUTPUT!B92:J94</x:v>
      </x:c>
      <x:c r="D26" s="408" t="str">
        <x:v>AutoCAD connection schedule</x:v>
      </x:c>
      <x:c r="E26" s="408" t="str">
        <x:v>AutoCAD Table / .NET plugin</x:v>
      </x:c>
      <x:c r="F26" s="408" t="str">
        <x:v>App → DWG</x:v>
      </x:c>
      <x:c r="G26" s="408" t="str">
        <x:v>CONNECTION_SCHEDULE</x:v>
      </x:c>
      <x:c r="H26" s="408" t="str">
        <x:v>Refresh rows / preserve style</x:v>
      </x:c>
      <x:c r="I26" s="408" t="str">
        <x:v>/projects/{id}/cad/connections</x:v>
      </x:c>
      <x:c r="J26" s="408" t="str">
        <x:v>Excel DataLink</x:v>
      </x:c>
      <x:c r="K26" s="408" t="str">
        <x:v>Source record retained with connection object.</x:v>
      </x:c>
    </x:row>
    <x:row r="27">
      <x:c r="B27" s="408" t="str">
        <x:v>HOLDOWN_ANCHOR_SCHEDULE</x:v>
      </x:c>
      <x:c r="C27" s="408" t="str">
        <x:v>11_CAD_OUTPUT!B97:J100</x:v>
      </x:c>
      <x:c r="D27" s="408" t="str">
        <x:v>AutoCAD holdown/anchor schedule</x:v>
      </x:c>
      <x:c r="E27" s="408" t="str">
        <x:v>AutoCAD Table / .NET plugin</x:v>
      </x:c>
      <x:c r="F27" s="408" t="str">
        <x:v>App → DWG</x:v>
      </x:c>
      <x:c r="G27" s="408" t="str">
        <x:v>HOLDOWN_ANCHOR_SCHEDULE</x:v>
      </x:c>
      <x:c r="H27" s="408" t="str">
        <x:v>Refresh rows / preserve style</x:v>
      </x:c>
      <x:c r="I27" s="408" t="str">
        <x:v>/projects/{id}/cad/holdowns-anchors</x:v>
      </x:c>
      <x:c r="J27" s="408" t="str">
        <x:v>Excel DataLink</x:v>
      </x:c>
      <x:c r="K27" s="408" t="str">
        <x:v>Product/source IDs should be persistent object data.</x:v>
      </x:c>
    </x:row>
    <x:row r="28">
      <x:c r="B28" s="408" t="str">
        <x:v>COLLECTOR_CHORD_SCHEDULE</x:v>
      </x:c>
      <x:c r="C28" s="408" t="str">
        <x:v>11_CAD_OUTPUT!B103:J105</x:v>
      </x:c>
      <x:c r="D28" s="408" t="str">
        <x:v>AutoCAD collector/chord schedule</x:v>
      </x:c>
      <x:c r="E28" s="408" t="str">
        <x:v>AutoCAD Table / .NET plugin</x:v>
      </x:c>
      <x:c r="F28" s="408" t="str">
        <x:v>App → DWG</x:v>
      </x:c>
      <x:c r="G28" s="408" t="str">
        <x:v>COLLECTOR_CHORD_SCHEDULE</x:v>
      </x:c>
      <x:c r="H28" s="408" t="str">
        <x:v>Refresh rows / preserve style</x:v>
      </x:c>
      <x:c r="I28" s="408" t="str">
        <x:v>/projects/{id}/cad/collectors</x:v>
      </x:c>
      <x:c r="J28" s="408" t="str">
        <x:v>Excel DataLink</x:v>
      </x:c>
      <x:c r="K28" s="408" t="str">
        <x:v>Use stable mark key for drawing/report reconciliation.</x:v>
      </x:c>
    </x:row>
    <x:row r="29">
      <x:c r="B29" s="408" t="str">
        <x:v>CONNECTION_INPUTS</x:v>
      </x:c>
      <x:c r="C29" s="408" t="str">
        <x:v>01_INPUTS!B211:E276</x:v>
      </x:c>
      <x:c r="D29" s="408" t="str">
        <x:v>Web/app connection input contract</x:v>
      </x:c>
      <x:c r="E29" s="408" t="str">
        <x:v>API / JSON object</x:v>
      </x:c>
      <x:c r="F29" s="408" t="str">
        <x:v>App ↔ Workbook</x:v>
      </x:c>
      <x:c r="G29" s="408" t="str">
        <x:v>CONNECTION_INPUTS</x:v>
      </x:c>
      <x:c r="H29" s="408" t="str">
        <x:v>Read/write controlled fields</x:v>
      </x:c>
      <x:c r="I29" s="408" t="str">
        <x:v>/projects/{id}/connections/inputs</x:v>
      </x:c>
      <x:c r="J29" s="408" t="str">
        <x:v>XLSX</x:v>
      </x:c>
      <x:c r="K29" s="408" t="str">
        <x:v>Carry source record + review status with each value.</x:v>
      </x:c>
    </x:row>
    <x:row r="30">
      <x:c r="B30" s="408" t="str">
        <x:v>CONNECTION_QA</x:v>
      </x:c>
      <x:c r="C30" s="408" t="str">
        <x:v>28_CONNECTIONS!H7:I13;29_HOLDOWN!H7:I13;30_SILL_ANCHOR!H7:I13;31_COLLECTOR_CHORD!H7:I12</x:v>
      </x:c>
      <x:c r="D30" s="408" t="str">
        <x:v>Drawing publication QA gate</x:v>
      </x:c>
      <x:c r="E30" s="408" t="str">
        <x:v>Plugin validation status</x:v>
      </x:c>
      <x:c r="F30" s="408" t="str">
        <x:v>App → DWG</x:v>
      </x:c>
      <x:c r="G30" s="408" t="str">
        <x:v>CONNECTION_QA</x:v>
      </x:c>
      <x:c r="H30" s="408" t="str">
        <x:v>Warn/block stale schedule updates</x:v>
      </x:c>
      <x:c r="I30" s="408" t="str">
        <x:v>/projects/{id}/qa/connections</x:v>
      </x:c>
      <x:c r="J30" s="408" t="str">
        <x:v>Manual review</x:v>
      </x:c>
      <x:c r="K30" s="408" t="str">
        <x:v>Do not publish FAIL/PENDING calculations.</x:v>
      </x:c>
    </x:row>
    <x:row r="31">
      <x:c r="B31" s="408" t="str">
        <x:v>CONNECTION_LONGHAND</x:v>
      </x:c>
      <x:c r="C31" s="408" t="str">
        <x:v>32_LONGHAND_CONN!B2:H24</x:v>
      </x:c>
      <x:c r="D31" s="408" t="str">
        <x:v>Calculation appendix</x:v>
      </x:c>
      <x:c r="E31" s="408" t="str">
        <x:v>PDF/report export</x:v>
      </x:c>
      <x:c r="F31" s="408" t="str">
        <x:v>App → CALCS</x:v>
      </x:c>
      <x:c r="G31" s="408" t="str">
        <x:v>CONNECTION_LONGHAND</x:v>
      </x:c>
      <x:c r="H31" s="408" t="str">
        <x:v>Generate calculation page</x:v>
      </x:c>
      <x:c r="I31" s="408" t="str">
        <x:v>/projects/{id}/reports/connection</x:v>
      </x:c>
      <x:c r="J31" s="408" t="str">
        <x:v>XLSX/PDF</x:v>
      </x:c>
      <x:c r="K31" s="408" t="str">
        <x:v>Not intended as drawing table.</x:v>
      </x:c>
    </x:row>
    <x:row r="32">
      <x:c r="B32" s="408" t="str">
        <x:v>HOLDOWN_LONGHAND</x:v>
      </x:c>
      <x:c r="C32" s="408" t="str">
        <x:v>33_LONGHAND_HD!B2:H21</x:v>
      </x:c>
      <x:c r="D32" s="408" t="str">
        <x:v>Calculation appendix</x:v>
      </x:c>
      <x:c r="E32" s="408" t="str">
        <x:v>PDF/report export</x:v>
      </x:c>
      <x:c r="F32" s="408" t="str">
        <x:v>App → CALCS</x:v>
      </x:c>
      <x:c r="G32" s="408" t="str">
        <x:v>HOLDOWN_LONGHAND</x:v>
      </x:c>
      <x:c r="H32" s="408" t="str">
        <x:v>Generate calculation page</x:v>
      </x:c>
      <x:c r="I32" s="408" t="str">
        <x:v>/projects/{id}/reports/holdown</x:v>
      </x:c>
      <x:c r="J32" s="408" t="str">
        <x:v>XLSX/PDF</x:v>
      </x:c>
      <x:c r="K32" s="408" t="str">
        <x:v>Product source appended to calculation package.</x:v>
      </x:c>
    </x:row>
    <x:row r="33">
      <x:c r="B33" s="408" t="str">
        <x:v>ANCHOR_LONGHAND</x:v>
      </x:c>
      <x:c r="C33" s="408" t="str">
        <x:v>34_LONGHAND_ANCHOR!B2:H22</x:v>
      </x:c>
      <x:c r="D33" s="408" t="str">
        <x:v>Calculation appendix</x:v>
      </x:c>
      <x:c r="E33" s="408" t="str">
        <x:v>PDF/report export</x:v>
      </x:c>
      <x:c r="F33" s="408" t="str">
        <x:v>App → CALCS</x:v>
      </x:c>
      <x:c r="G33" s="408" t="str">
        <x:v>ANCHOR_LONGHAND</x:v>
      </x:c>
      <x:c r="H33" s="408" t="str">
        <x:v>Generate calculation page</x:v>
      </x:c>
      <x:c r="I33" s="408" t="str">
        <x:v>/projects/{id}/reports/anchor-line</x:v>
      </x:c>
      <x:c r="J33" s="408" t="str">
        <x:v>XLSX/PDF</x:v>
      </x:c>
      <x:c r="K33" s="408" t="str">
        <x:v>Concrete anchor design remains separate source document.</x:v>
      </x:c>
    </x:row>
    <x:row r="34">
      <x:c r="B34" s="408" t="str">
        <x:v>FOUNDATION_SCHEDULE</x:v>
      </x:c>
      <x:c r="C34" s="408" t="str">
        <x:v>11_CAD_OUTPUT!B108:J110</x:v>
      </x:c>
      <x:c r="D34" s="408" t="str">
        <x:v>AutoCAD foundation schedule</x:v>
      </x:c>
      <x:c r="E34" s="408" t="str">
        <x:v>AutoCAD Table / .NET plugin</x:v>
      </x:c>
      <x:c r="F34" s="408" t="str">
        <x:v>App → DWG</x:v>
      </x:c>
      <x:c r="G34" s="408" t="str">
        <x:v>FOUNDATION_SCHEDULE</x:v>
      </x:c>
      <x:c r="H34" s="408" t="str">
        <x:v>Refresh rows / preserve style</x:v>
      </x:c>
      <x:c r="I34" s="408" t="str">
        <x:v>/projects/{id}/cad/foundations</x:v>
      </x:c>
      <x:c r="J34" s="408" t="str">
        <x:v>Excel DataLink</x:v>
      </x:c>
      <x:c r="K34" s="408" t="str">
        <x:v>Stable object mark links calculation to plan/detail.</x:v>
      </x:c>
    </x:row>
    <x:row r="35">
      <x:c r="B35" s="408" t="str">
        <x:v>PROJECT_SETUP</x:v>
      </x:c>
      <x:c r="C35" s="408" t="str">
        <x:v>00_COVER!B6:F16</x:v>
      </x:c>
      <x:c r="D35" s="408" t="str">
        <x:v>App project setup</x:v>
      </x:c>
      <x:c r="E35" s="408" t="str">
        <x:v>UI / API object</x:v>
      </x:c>
      <x:c r="F35" s="408" t="str">
        <x:v>App ↔ Workbook</x:v>
      </x:c>
      <x:c r="G35" s="408" t="str">
        <x:v>PROJECT_SETUP</x:v>
      </x:c>
      <x:c r="H35" s="408" t="str">
        <x:v>Read/write minimal decisions</x:v>
      </x:c>
      <x:c r="I35" s="408" t="str">
        <x:v>/projects/{id}/setup</x:v>
      </x:c>
      <x:c r="J35" s="408" t="str">
        <x:v>XLSX</x:v>
      </x:c>
      <x:c r="K35" s="408" t="str">
        <x:v>Human decisions only.</x:v>
      </x:c>
    </x:row>
    <x:row r="36">
      <x:c r="B36" s="408" t="str">
        <x:v>CAD_CONFIRMATION</x:v>
      </x:c>
      <x:c r="C36" s="408" t="str">
        <x:v>00_CAD_CONFIRM!B6:L24</x:v>
      </x:c>
      <x:c r="D36" s="408" t="str">
        <x:v>Geometry/object confirmation queue</x:v>
      </x:c>
      <x:c r="E36" s="408" t="str">
        <x:v>AutoCAD .NET / cloud extraction</x:v>
      </x:c>
      <x:c r="F36" s="408" t="str">
        <x:v>DWG → App → approval</x:v>
      </x:c>
      <x:c r="G36" s="408" t="str">
        <x:v>CAD_CONFIRMATION</x:v>
      </x:c>
      <x:c r="H36" s="408" t="str">
        <x:v>Extract candidates / record entity IDs</x:v>
      </x:c>
      <x:c r="I36" s="408" t="str">
        <x:v>/projects/{id}/cad/confirm</x:v>
      </x:c>
      <x:c r="J36" s="408" t="str">
        <x:v>Manual</x:v>
      </x:c>
      <x:c r="K36" s="408" t="str">
        <x:v>No detected value becomes authoritative until confirmed.</x:v>
      </x:c>
    </x:row>
    <x:row r="37">
      <x:c r="B37" s="408" t="str">
        <x:v>OBJECT_MODEL</x:v>
      </x:c>
      <x:c r="C37" s="408" t="str">
        <x:v>00_OBJECT_MODEL!B6:R26</x:v>
      </x:c>
      <x:c r="D37" s="408" t="str">
        <x:v>Semantic building graph</x:v>
      </x:c>
      <x:c r="E37" s="408" t="str">
        <x:v>Persistent object data / AutoCAD extension data</x:v>
      </x:c>
      <x:c r="F37" s="408" t="str">
        <x:v>Bi-directional</x:v>
      </x:c>
      <x:c r="G37" s="408" t="str">
        <x:v>OBJECT_MODEL</x:v>
      </x:c>
      <x:c r="H37" s="408" t="str">
        <x:v>Resolve semantic IDs ↔ CAD entities</x:v>
      </x:c>
      <x:c r="I37" s="408" t="str">
        <x:v>/projects/{id}/objects</x:v>
      </x:c>
      <x:c r="J37" s="408" t="str">
        <x:v>JSON</x:v>
      </x:c>
      <x:c r="K37" s="408" t="str">
        <x:v>Coordinates are geometry; semantic identity is the human interface.</x:v>
      </x:c>
    </x:row>
    <x:row r="38">
      <x:c r="B38" s="408" t="str">
        <x:v>CHANGE_IMPACT</x:v>
      </x:c>
      <x:c r="C38" s="408" t="str">
        <x:v>00_CHANGE_IMPACT!B6:Q26</x:v>
      </x:c>
      <x:c r="D38" s="408" t="str">
        <x:v>Revision impact / approval queue</x:v>
      </x:c>
      <x:c r="E38" s="408" t="str">
        <x:v>Dependency graph + AutoCAD API</x:v>
      </x:c>
      <x:c r="F38" s="408" t="str">
        <x:v>Model → approval → DWG</x:v>
      </x:c>
      <x:c r="G38" s="408" t="str">
        <x:v>CHANGE_IMPACT</x:v>
      </x:c>
      <x:c r="H38" s="408" t="str">
        <x:v>Preview / approve / apply / reconcile</x:v>
      </x:c>
      <x:c r="I38" s="408" t="str">
        <x:v>/projects/{id}/changes</x:v>
      </x:c>
      <x:c r="J38" s="408" t="str">
        <x:v>Manual</x:v>
      </x:c>
      <x:c r="K38" s="408" t="str">
        <x:v>No silent drawing mutation.</x:v>
      </x:c>
    </x:row>
    <x:row r="39">
      <x:c r="B39" s="408" t="str">
        <x:v>ISSUE_GATE</x:v>
      </x:c>
      <x:c r="C39" s="408" t="str">
        <x:v>00_ISSUE_GATE!B6:H24</x:v>
      </x:c>
      <x:c r="D39" s="408" t="str">
        <x:v>Whole-project issue control</x:v>
      </x:c>
      <x:c r="E39" s="408" t="str">
        <x:v>App QA dashboard</x:v>
      </x:c>
      <x:c r="F39" s="408" t="str">
        <x:v>Model → issue workflow</x:v>
      </x:c>
      <x:c r="G39" s="408" t="str">
        <x:v>ISSUE_GATE</x:v>
      </x:c>
      <x:c r="H39" s="408" t="str">
        <x:v>Block issue on failed/pending applicable gates</x:v>
      </x:c>
      <x:c r="I39" s="408" t="str">
        <x:v>/projects/{id}/qa/issue</x:v>
      </x:c>
      <x:c r="J39" s="408" t="str">
        <x:v>Manual</x:v>
      </x:c>
      <x:c r="K39" s="408" t="str">
        <x:v>Function + verification + sync + approval.</x:v>
      </x:c>
    </x:row>
  </x:sheetData>
  <x:mergeCells>
    <x:mergeCell ref="B2:J2"/>
  </x:mergeCells>
  <x:pageMargins left="0.7" right="0.7" top="0.75" bottom="0.75" header="0.3" footer="0.3"/>
</x:worksheet>
</file>

<file path=xl/worksheets/sheet17.xml><?xml version="1.0" encoding="utf-8"?>
<x:worksheet xmlns:x="http://schemas.openxmlformats.org/spreadsheetml/2006/main">
  <x:sheetFormatPr defaultRowHeight="15"/>
  <x:cols>
    <x:col min="2" max="2" width="14" hidden="0" customWidth="1"/>
    <x:col min="3" max="3" width="30" hidden="0" customWidth="1"/>
    <x:col min="4" max="4" width="24" hidden="0" customWidth="1"/>
    <x:col min="5" max="5" width="18" hidden="0" customWidth="1"/>
    <x:col min="6" max="6" width="14" hidden="0" customWidth="1"/>
    <x:col min="7" max="7" width="24" hidden="0" customWidth="1"/>
    <x:col min="8" max="8" width="14" hidden="0" customWidth="1"/>
    <x:col min="9" max="9" width="16" hidden="0" customWidth="1"/>
    <x:col min="10" max="10" width="16" hidden="0" customWidth="1"/>
  </x:cols>
  <x:sheetData>
    <x:row r="2">
      <x:c r="B2" s="134" t="str">
        <x:v>GENERAL NOTE RULE ENGINE</x:v>
      </x:c>
      <x:c r="C2" s="134"/>
      <x:c r="D2" s="134"/>
      <x:c r="E2" s="134"/>
      <x:c r="F2" s="134"/>
      <x:c r="G2" s="134"/>
      <x:c r="H2" s="134"/>
      <x:c r="I2" s="134"/>
      <x:c r="J2" s="134"/>
    </x:row>
    <x:row r="4">
      <x:c r="B4" s="141" t="str">
        <x:v>Rule ID</x:v>
      </x:c>
      <x:c r="C4" s="141" t="str">
        <x:v>Condition</x:v>
      </x:c>
      <x:c r="D4" s="141" t="str">
        <x:v>Condition Source</x:v>
      </x:c>
      <x:c r="E4" s="141" t="str">
        <x:v>Output Note ID</x:v>
      </x:c>
      <x:c r="F4" s="141" t="str">
        <x:v>Source ID</x:v>
      </x:c>
      <x:c r="G4" s="141" t="str">
        <x:v>Exact Citation</x:v>
      </x:c>
      <x:c r="H4" s="141" t="str">
        <x:v>Auto Include</x:v>
      </x:c>
      <x:c r="I4" s="141" t="str">
        <x:v>Engineer Review</x:v>
      </x:c>
      <x:c r="J4" s="141" t="str">
        <x:v>Status</x:v>
      </x:c>
    </x:row>
    <x:row r="5">
      <x:c r="B5" s="142" t="str">
        <x:v>NR-001</x:v>
      </x:c>
      <x:c r="C5" s="142" t="str">
        <x:v>Wood framing module active</x:v>
      </x:c>
      <x:c r="D5" s="142" t="str">
        <x:v>Calc index</x:v>
      </x:c>
      <x:c r="E5" s="142" t="str">
        <x:v>GN-002</x:v>
      </x:c>
      <x:c r="F5" s="142" t="str">
        <x:v>SRC-04</x:v>
      </x:c>
      <x:c r="G5" s="142" t="str">
        <x:v>TBD</x:v>
      </x:c>
      <x:c r="H5" s="142" t="str">
        <x:v>YES</x:v>
      </x:c>
      <x:c r="I5" s="142" t="str">
        <x:v>YES</x:v>
      </x:c>
      <x:c r="J5" s="142" t="str">
        <x:v>FRAMEWORK</x:v>
      </x:c>
    </x:row>
    <x:row r="6">
      <x:c r="B6" s="142" t="str">
        <x:v>NR-002</x:v>
      </x:c>
      <x:c r="C6" s="142" t="str">
        <x:v>Shear wall / diaphragm module active</x:v>
      </x:c>
      <x:c r="D6" s="142" t="str">
        <x:v>Calc index</x:v>
      </x:c>
      <x:c r="E6" s="142" t="str">
        <x:v>GN-003</x:v>
      </x:c>
      <x:c r="F6" s="142" t="str">
        <x:v>SRC-06</x:v>
      </x:c>
      <x:c r="G6" s="142" t="str">
        <x:v>TBD</x:v>
      </x:c>
      <x:c r="H6" s="142" t="str">
        <x:v>YES</x:v>
      </x:c>
      <x:c r="I6" s="142" t="str">
        <x:v>YES</x:v>
      </x:c>
      <x:c r="J6" s="142" t="str">
        <x:v>FRAMEWORK</x:v>
      </x:c>
    </x:row>
    <x:row r="7">
      <x:c r="B7" s="142" t="str">
        <x:v>NR-003</x:v>
      </x:c>
      <x:c r="C7" s="142" t="str">
        <x:v>Geotechnical report attached</x:v>
      </x:c>
      <x:c r="D7" s="142" t="str">
        <x:v>Document register</x:v>
      </x:c>
      <x:c r="E7" s="142" t="str">
        <x:v>GN-004</x:v>
      </x:c>
      <x:c r="F7" s="142" t="str">
        <x:v>Project</x:v>
      </x:c>
      <x:c r="G7" s="142" t="str">
        <x:v>Project-specific</x:v>
      </x:c>
      <x:c r="H7" s="142" t="str">
        <x:v>YES</x:v>
      </x:c>
      <x:c r="I7" s="142" t="str">
        <x:v>YES</x:v>
      </x:c>
      <x:c r="J7" s="142" t="str">
        <x:v>FRAMEWORK</x:v>
      </x:c>
    </x:row>
    <x:row r="8">
      <x:c r="B8" s="142" t="str">
        <x:v>NR-004</x:v>
      </x:c>
      <x:c r="C8" s="142" t="str">
        <x:v>Code edition changes</x:v>
      </x:c>
      <x:c r="D8" s="142" t="str">
        <x:v>Design criteria</x:v>
      </x:c>
      <x:c r="E8" s="142" t="str">
        <x:v>GN-001</x:v>
      </x:c>
      <x:c r="F8" s="142" t="str">
        <x:v>SRC-01</x:v>
      </x:c>
      <x:c r="G8" s="142" t="str">
        <x:v>TBD</x:v>
      </x:c>
      <x:c r="H8" s="142" t="str">
        <x:v>YES</x:v>
      </x:c>
      <x:c r="I8" s="142" t="str">
        <x:v>YES</x:v>
      </x:c>
      <x:c r="J8" s="142" t="str">
        <x:v>FRAMEWORK</x:v>
      </x:c>
    </x:row>
    <x:row r="9">
      <x:c r="B9" t="str">
        <x:v>NR-005</x:v>
      </x:c>
      <x:c r="C9" t="str">
        <x:v>Seismic module active</x:v>
      </x:c>
      <x:c r="D9" t="str">
        <x:v>Calc index</x:v>
      </x:c>
      <x:c r="E9" t="str">
        <x:v>GN-005</x:v>
      </x:c>
      <x:c r="F9" t="str">
        <x:v>SRC-16</x:v>
      </x:c>
      <x:c r="G9" t="str">
        <x:v>ASCE 7-22 Ch. 12</x:v>
      </x:c>
      <x:c r="H9" t="str">
        <x:v>YES</x:v>
      </x:c>
      <x:c r="I9" t="str">
        <x:v>YES</x:v>
      </x:c>
      <x:c r="J9" t="str">
        <x:v>ACTIVE</x:v>
      </x:c>
    </x:row>
    <x:row r="10">
      <x:c r="B10" t="str">
        <x:v>GN-006</x:v>
      </x:c>
      <x:c r="C10" t="str">
        <x:v>Wood Columns</x:v>
      </x:c>
      <x:c r="D10" t="str">
        <x:v>YES</x:v>
      </x:c>
      <x:c r="E10" t="str">
        <x:v>Column/post design shall use the controlled material properties, effective-length assumptions, and NDS column-stability checks shown in the calculation package.</x:v>
      </x:c>
      <x:c r="F10" t="str">
        <x:v>SRC-04</x:v>
      </x:c>
      <x:c r="G10" t="str">
        <x:v>NDS Ch. 3 / §3.7</x:v>
      </x:c>
      <x:c r="H10" t="str">
        <x:v>S1</x:v>
      </x:c>
      <x:c r="I10" t="str">
        <x:v>Column material / geometry / Ke</x:v>
      </x:c>
      <x:c r="J10" t="str">
        <x:v>REVIEW</x:v>
      </x:c>
    </x:row>
    <x:row r="11">
      <x:c r="B11" s="408" t="str">
        <x:v>GN-007</x:v>
      </x:c>
      <x:c r="C11" s="408" t="str">
        <x:v>Shear Walls</x:v>
      </x:c>
      <x:c r="D11" s="408" t="str">
        <x:v>YES</x:v>
      </x:c>
      <x:c r="E11" s="408" t="str">
        <x:v>Wood-frame shear walls shall be designed and detailed using the source-controlled assembly capacities, adjustment factors, anchorage, collectors, and deflection criteria identified in the structural calculation package.</x:v>
      </x:c>
      <x:c r="F11" s="408" t="str">
        <x:v>SRC-23</x:v>
      </x:c>
      <x:c r="G11" s="408" t="str">
        <x:v>SDPWS Ch. 4</x:v>
      </x:c>
      <x:c r="H11" s="408" t="str">
        <x:v>S1</x:v>
      </x:c>
      <x:c r="I11" s="408" t="str">
        <x:v>Assembly / wall-line selection</x:v>
      </x:c>
      <x:c r="J11" s="408" t="str">
        <x:v>REVIEW</x:v>
      </x:c>
    </x:row>
    <x:row r="12">
      <x:c r="B12" s="408" t="str">
        <x:v>GN-008</x:v>
      </x:c>
      <x:c r="C12" s="408" t="str">
        <x:v>Diaphragms</x:v>
      </x:c>
      <x:c r="D12" s="408" t="str">
        <x:v>YES</x:v>
      </x:c>
      <x:c r="E12" s="408" t="str">
        <x:v>Wood-frame diaphragms shall use source-controlled unit shear capacities and stiffness values; chords, collectors, splices, openings, and transfer forces shall be designed for the calculated load path.</x:v>
      </x:c>
      <x:c r="F12" s="408" t="str">
        <x:v>SRC-23</x:v>
      </x:c>
      <x:c r="G12" s="408" t="str">
        <x:v>SDPWS Ch. 4</x:v>
      </x:c>
      <x:c r="H12" s="408" t="str">
        <x:v>S1</x:v>
      </x:c>
      <x:c r="I12" s="408" t="str">
        <x:v>Diaphragm configuration / load path</x:v>
      </x:c>
      <x:c r="J12" s="408" t="str">
        <x:v>REVIEW</x:v>
      </x:c>
    </x:row>
    <x:row r="13">
      <x:c r="B13" s="408" t="str">
        <x:v>GN-009</x:v>
      </x:c>
      <x:c r="C13" s="408" t="str">
        <x:v>Lateral Source Traceability</x:v>
      </x:c>
      <x:c r="D13" s="408" t="str">
        <x:v>YES</x:v>
      </x:c>
      <x:c r="E13" s="408" t="str">
        <x:v>Where proprietary or tabulated assembly values are used, the project record shall identify the governing standard table, evaluation report, or manufacturer source and edition.</x:v>
      </x:c>
      <x:c r="F13" s="408" t="str">
        <x:v>SRC-23</x:v>
      </x:c>
      <x:c r="G13" s="408" t="str">
        <x:v>Project QA</x:v>
      </x:c>
      <x:c r="H13" s="408" t="str">
        <x:v>CALCS</x:v>
      </x:c>
      <x:c r="I13" s="408" t="str">
        <x:v>Source record IDs</x:v>
      </x:c>
      <x:c r="J13" s="408" t="str">
        <x:v>ACTIVE</x:v>
      </x:c>
    </x:row>
    <x:row r="14">
      <x:c r="B14" s="408" t="str">
        <x:v>GN-010</x:v>
      </x:c>
      <x:c r="C14" s="408" t="str">
        <x:v>CAD/Recalculation Coordination</x:v>
      </x:c>
      <x:c r="D14" s="408" t="str">
        <x:v>YES</x:v>
      </x:c>
      <x:c r="E14" s="408" t="str">
        <x:v>Structural schedules generated from the calculation model shall be refreshed after calculation changes and checked for report/drawing mismatches before issue.</x:v>
      </x:c>
      <x:c r="F14" s="408" t="str">
        <x:v>Project</x:v>
      </x:c>
      <x:c r="G14" s="408" t="str">
        <x:v>Project QA</x:v>
      </x:c>
      <x:c r="H14" s="408" t="str">
        <x:v>G1/S1</x:v>
      </x:c>
      <x:c r="I14" s="408" t="str">
        <x:v>CAD integration</x:v>
      </x:c>
      <x:c r="J14" s="408" t="str">
        <x:v>ACTIVE</x:v>
      </x:c>
    </x:row>
    <x:row r="15">
      <x:c r="B15" s="408" t="str">
        <x:v>GN-011</x:v>
      </x:c>
      <x:c r="C15" s="408" t="str">
        <x:v>Wood Connections</x:v>
      </x:c>
      <x:c r="D15" s="408" t="str">
        <x:v>YES</x:v>
      </x:c>
      <x:c r="E15" s="408" t="str">
        <x:v>Wood connections shall use project-specific source-controlled fastener capacities and shall satisfy applicable spacing, edge/end distance, member thickness, group action, and installation requirements.</x:v>
      </x:c>
      <x:c r="F15" s="408" t="str">
        <x:v>SRC-28 / SRC-33</x:v>
      </x:c>
      <x:c r="G15" s="408" t="str">
        <x:v>NDS Ch. 11</x:v>
      </x:c>
      <x:c r="H15" s="408" t="str">
        <x:v>S1</x:v>
      </x:c>
      <x:c r="I15" s="408" t="str">
        <x:v>Connection source / geometry</x:v>
      </x:c>
      <x:c r="J15" s="408" t="str">
        <x:v>REVIEW</x:v>
      </x:c>
    </x:row>
    <x:row r="16">
      <x:c r="B16" s="408" t="str">
        <x:v>GN-012</x:v>
      </x:c>
      <x:c r="C16" s="408" t="str">
        <x:v>Holdowns / Tension Ties</x:v>
      </x:c>
      <x:c r="D16" s="408" t="str">
        <x:v>YES</x:v>
      </x:c>
      <x:c r="E16" s="408" t="str">
        <x:v>Holdowns and tension ties shall be installed in accordance with the current product/evaluation report; post, anchor rod, concrete anchorage, and deformation assumptions shall match the structural calculations.</x:v>
      </x:c>
      <x:c r="F16" s="408" t="str">
        <x:v>SRC-31 / product</x:v>
      </x:c>
      <x:c r="G16" s="408" t="str">
        <x:v>Product-specific</x:v>
      </x:c>
      <x:c r="H16" s="408" t="str">
        <x:v>S1</x:v>
      </x:c>
      <x:c r="I16" s="408" t="str">
        <x:v>Holdown product / ESR</x:v>
      </x:c>
      <x:c r="J16" s="408" t="str">
        <x:v>REVIEW</x:v>
      </x:c>
    </x:row>
    <x:row r="17">
      <x:c r="B17" s="408" t="str">
        <x:v>GN-013</x:v>
      </x:c>
      <x:c r="C17" s="408" t="str">
        <x:v>Sill / Anchor Lines</x:v>
      </x:c>
      <x:c r="D17" s="408" t="str">
        <x:v>YES</x:v>
      </x:c>
      <x:c r="E17" s="408" t="str">
        <x:v>Sill anchorage shall be coordinated with the approved concrete-anchor design, required shear/uplift forces, edge/spacing conditions, sill hardware, and inspection requirements.</x:v>
      </x:c>
      <x:c r="F17" s="408" t="str">
        <x:v>Project anchor source</x:v>
      </x:c>
      <x:c r="G17" s="408" t="str">
        <x:v>Project-specific</x:v>
      </x:c>
      <x:c r="H17" s="408" t="str">
        <x:v>S1</x:v>
      </x:c>
      <x:c r="I17" s="408" t="str">
        <x:v>Anchor design record</x:v>
      </x:c>
      <x:c r="J17" s="408" t="str">
        <x:v>REVIEW</x:v>
      </x:c>
    </x:row>
    <x:row r="18">
      <x:c r="B18" s="408" t="str">
        <x:v>GN-014</x:v>
      </x:c>
      <x:c r="C18" s="408" t="str">
        <x:v>Collectors / Chords</x:v>
      </x:c>
      <x:c r="D18" s="408" t="str">
        <x:v>YES</x:v>
      </x:c>
      <x:c r="E18" s="408" t="str">
        <x:v>Collectors, drag struts, chords, splices, and blocking shall provide a continuous load path for the forces shown in the structural calculations and schedules.</x:v>
      </x:c>
      <x:c r="F18" s="408" t="str">
        <x:v>SRC-23 / SRC-33</x:v>
      </x:c>
      <x:c r="G18" s="408" t="str">
        <x:v>SDPWS/NDS</x:v>
      </x:c>
      <x:c r="H18" s="408" t="str">
        <x:v>S1</x:v>
      </x:c>
      <x:c r="I18" s="408" t="str">
        <x:v>Load path / splice design</x:v>
      </x:c>
      <x:c r="J18" s="408" t="str">
        <x:v>REVIEW</x:v>
      </x:c>
    </x:row>
    <x:row r="19">
      <x:c r="B19" s="408" t="str">
        <x:v>GN-015</x:v>
      </x:c>
      <x:c r="C19" s="408" t="str">
        <x:v>Product Documentation</x:v>
      </x:c>
      <x:c r="D19" s="408" t="str">
        <x:v>YES</x:v>
      </x:c>
      <x:c r="E19" s="408" t="str">
        <x:v>Current evaluation reports, manufacturer data, and delegated-design documents relied upon for structural capacities shall be retained in the project appendix with edition/date and contact information where available.</x:v>
      </x:c>
      <x:c r="F19" s="408" t="str">
        <x:v>Project QA</x:v>
      </x:c>
      <x:c r="G19" s="408" t="str">
        <x:v>Appendix control</x:v>
      </x:c>
      <x:c r="H19" s="408" t="str">
        <x:v>G1/S1</x:v>
      </x:c>
      <x:c r="I19" s="408" t="str">
        <x:v>Document register</x:v>
      </x:c>
      <x:c r="J19" s="408" t="str">
        <x:v>ACTIVE</x:v>
      </x:c>
    </x:row>
    <x:row r="20">
      <x:c r="B20" s="408" t="str">
        <x:v>GN-016</x:v>
      </x:c>
      <x:c r="C20" s="408" t="str">
        <x:v>Calculation/Drawing Reconciliation</x:v>
      </x:c>
      <x:c r="D20" s="408" t="str">
        <x:v>YES</x:v>
      </x:c>
      <x:c r="E20" s="408" t="str">
        <x:v>Connection, holdown, anchor, collector, and chord marks and capacities shall be refreshed from the calculation model and reconciled with the issued drawing schedules after design changes.</x:v>
      </x:c>
      <x:c r="F20" s="408" t="str">
        <x:v>Project QA</x:v>
      </x:c>
      <x:c r="G20" s="408" t="str">
        <x:v>CAD integration</x:v>
      </x:c>
      <x:c r="H20" s="408" t="str">
        <x:v>G1/S1</x:v>
      </x:c>
      <x:c r="I20" s="408" t="str">
        <x:v>CAD output contract</x:v>
      </x:c>
      <x:c r="J20" s="408" t="str">
        <x:v>ACTIVE</x:v>
      </x:c>
    </x:row>
    <x:row r="21">
      <x:c r="B21" s="408" t="str">
        <x:v>GN-017</x:v>
      </x:c>
      <x:c r="C21" s="408" t="str">
        <x:v>Foundation / Geotechnical</x:v>
      </x:c>
      <x:c r="D21" s="408" t="str">
        <x:v>YES</x:v>
      </x:c>
      <x:c r="E21" s="408" t="str">
        <x:v>Foundation allowable bearing, friction, settlement, and other soil parameters shall be based on the project geotechnical report or other permitted governing-code basis; seismic Site Class alone shall not be used as a bearing-capacity value.</x:v>
      </x:c>
      <x:c r="F21" s="408" t="str">
        <x:v>SRC-34 / project geotech</x:v>
      </x:c>
      <x:c r="G21" s="408" t="str">
        <x:v>CBC Ch.18</x:v>
      </x:c>
      <x:c r="H21" s="408" t="str">
        <x:v>S1</x:v>
      </x:c>
      <x:c r="I21" s="408" t="str">
        <x:v>Geotechnical source record</x:v>
      </x:c>
      <x:c r="J21" s="408" t="str">
        <x:v>REVIEW</x:v>
      </x:c>
    </x:row>
    <x:row r="22">
      <x:c r="B22" s="408" t="str">
        <x:v>GN-018</x:v>
      </x:c>
      <x:c r="C22" s="408" t="str">
        <x:v>Concrete Footings</x:v>
      </x:c>
      <x:c r="D22" s="408" t="str">
        <x:v>YES</x:v>
      </x:c>
      <x:c r="E22" s="408" t="str">
        <x:v>Reinforced-concrete footing flexure, shear, development, cover, reinforcement, dowels, and anchorage shall conform to the adopted structural-concrete provisions and the project concrete design calculation.</x:v>
      </x:c>
      <x:c r="F22" s="408" t="str">
        <x:v>SRC-36</x:v>
      </x:c>
      <x:c r="G22" s="408" t="str">
        <x:v>CBC Ch.19 / ACI 318</x:v>
      </x:c>
      <x:c r="H22" s="408" t="str">
        <x:v>S1</x:v>
      </x:c>
      <x:c r="I22" s="408" t="str">
        <x:v>Concrete design record</x:v>
      </x:c>
      <x:c r="J22" s="408" t="str">
        <x:v>REVIEW</x:v>
      </x:c>
    </x:row>
    <x:row r="23">
      <x:c r="B23" s="408" t="str">
        <x:v>GN-019</x:v>
      </x:c>
      <x:c r="C23" s="408" t="str">
        <x:v>Semantic Object Identity</x:v>
      </x:c>
      <x:c r="D23" s="408" t="str">
        <x:v>YES</x:v>
      </x:c>
      <x:c r="E23" s="408" t="str">
        <x:v>Generated structural schedules and details shall use stable project object marks/IDs so calculations, CAD entities, revisions, and supporting records can be reconciled.</x:v>
      </x:c>
      <x:c r="F23" s="408" t="str">
        <x:v>Project QA</x:v>
      </x:c>
      <x:c r="G23" s="408" t="str">
        <x:v>Object model</x:v>
      </x:c>
      <x:c r="H23" s="408" t="str">
        <x:v>G1/S1</x:v>
      </x:c>
      <x:c r="I23" s="408" t="str">
        <x:v>Object registry</x:v>
      </x:c>
      <x:c r="J23" s="408" t="str">
        <x:v>ACTIVE</x:v>
      </x:c>
    </x:row>
    <x:row r="24">
      <x:c r="B24" s="408" t="str">
        <x:v>GN-020</x:v>
      </x:c>
      <x:c r="C24" s="408" t="str">
        <x:v>Revision Approval</x:v>
      </x:c>
      <x:c r="D24" s="408" t="str">
        <x:v>YES</x:v>
      </x:c>
      <x:c r="E24" s="408" t="str">
        <x:v>Automated design revisions shall be previewed as an impact set and require the designated engineer/drafter approval before drawing write-back; the project shall be reconciled after the change is applied.</x:v>
      </x:c>
      <x:c r="F24" s="408" t="str">
        <x:v>Project QA</x:v>
      </x:c>
      <x:c r="G24" s="408" t="str">
        <x:v>Change workflow</x:v>
      </x:c>
      <x:c r="H24" s="408" t="str">
        <x:v>G1/S1</x:v>
      </x:c>
      <x:c r="I24" s="408" t="str">
        <x:v>Change impact register</x:v>
      </x:c>
      <x:c r="J24" s="408" t="str">
        <x:v>ACTIVE</x:v>
      </x:c>
    </x:row>
  </x:sheetData>
  <x:mergeCells>
    <x:mergeCell ref="B2:J2"/>
  </x:mergeCells>
  <x:pageMargins left="0.7" right="0.7" top="0.75" bottom="0.75" header="0.3" footer="0.3"/>
</x:worksheet>
</file>

<file path=xl/worksheets/sheet18.xml><?xml version="1.0" encoding="utf-8"?>
<x:worksheet xmlns:x="http://schemas.openxmlformats.org/spreadsheetml/2006/main">
  <x:sheetFormatPr defaultRowHeight="15"/>
  <x:cols>
    <x:col min="2" max="2" width="14" hidden="0" customWidth="1"/>
    <x:col min="3" max="3" width="16" hidden="0" customWidth="1"/>
    <x:col min="4" max="4" width="34"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15" hidden="0" customWidth="1"/>
    <x:col min="14" max="14" width="17" hidden="0" customWidth="1"/>
    <x:col min="15" max="15" width="10" hidden="0" customWidth="1"/>
    <x:col min="16" max="16" width="11" hidden="0" customWidth="1"/>
    <x:col min="17" max="17" width="24" hidden="0" customWidth="1"/>
  </x:cols>
  <x:sheetData>
    <x:row r="2" ht="26" customHeight="1">
      <x:c r="B2" s="167" t="str">
        <x:v>LOAD COMBINATION ENGINE — ASCE 7-22 / 2025 CBC</x:v>
      </x:c>
      <x:c r="C2" s="167"/>
      <x:c r="D2" s="167"/>
      <x:c r="E2" s="167"/>
      <x:c r="F2" s="167"/>
      <x:c r="G2" s="167"/>
      <x:c r="H2" s="167"/>
      <x:c r="I2" s="167"/>
      <x:c r="J2" s="167"/>
      <x:c r="K2" s="167"/>
      <x:c r="L2" s="167"/>
      <x:c r="M2" s="167"/>
      <x:c r="N2" s="167"/>
      <x:c r="O2" s="167"/>
      <x:c r="P2" s="167"/>
      <x:c r="Q2" s="167"/>
    </x:row>
    <x:row r="4">
      <x:c r="B4" s="169" t="str">
        <x:v>Unit-agnostic coefficient engine. Each row is an explicit branch of an ASCE 7-22 basic load combination so downstream beam, wall, diaphragm, connection, and foundation modules can reuse the same verified coefficients. Current project integration below uses the preliminary gravity-beam line-load effects only; wind, seismic, snow-member, and rain effects remain blank until their modules are built.</x:v>
      </x:c>
      <x:c r="C4" s="169"/>
      <x:c r="D4" s="169"/>
      <x:c r="E4" s="169"/>
      <x:c r="F4" s="169"/>
      <x:c r="G4" s="169"/>
      <x:c r="H4" s="169"/>
      <x:c r="I4" s="169"/>
      <x:c r="J4" s="169"/>
      <x:c r="K4" s="169"/>
      <x:c r="L4" s="169"/>
      <x:c r="M4" s="169"/>
      <x:c r="N4" s="169"/>
      <x:c r="O4" s="169"/>
      <x:c r="P4" s="169"/>
      <x:c r="Q4" s="169"/>
    </x:row>
    <x:row r="5">
      <x:c r="B5" s="169"/>
      <x:c r="C5" s="169"/>
      <x:c r="D5" s="169"/>
      <x:c r="E5" s="169"/>
      <x:c r="F5" s="169"/>
      <x:c r="G5" s="169"/>
      <x:c r="H5" s="169"/>
      <x:c r="I5" s="169"/>
      <x:c r="J5" s="169"/>
      <x:c r="K5" s="169"/>
      <x:c r="L5" s="169"/>
      <x:c r="M5" s="169"/>
      <x:c r="N5" s="169"/>
      <x:c r="O5" s="169"/>
      <x:c r="P5" s="169"/>
      <x:c r="Q5" s="169"/>
    </x:row>
    <x:row r="7">
      <x:c r="B7" s="171" t="str">
        <x:v>CURRENT PROJECT LOAD-EFFECT VECTOR</x:v>
      </x:c>
      <x:c r="C7" s="171"/>
      <x:c r="D7" s="171"/>
      <x:c r="E7" s="171"/>
      <x:c r="F7" s="171"/>
      <x:c r="G7" s="171"/>
      <x:c r="H7" s="171"/>
      <x:c r="I7" s="171"/>
      <x:c r="J7" s="171"/>
      <x:c r="K7" s="171"/>
      <x:c r="L7" s="171"/>
      <x:c r="M7" s="171"/>
      <x:c r="N7" s="171"/>
      <x:c r="O7" s="171"/>
      <x:c r="P7" s="171"/>
      <x:c r="Q7" s="171"/>
    </x:row>
    <x:row r="8">
      <x:c r="B8" s="176" t="str">
        <x:v>Symbol</x:v>
      </x:c>
      <x:c r="C8" s="176" t="str">
        <x:v>D</x:v>
      </x:c>
      <x:c r="D8" s="176" t="str">
        <x:v>L</x:v>
      </x:c>
      <x:c r="E8" s="176" t="str">
        <x:v>Lr</x:v>
      </x:c>
      <x:c r="F8" s="176" t="str">
        <x:v>S</x:v>
      </x:c>
      <x:c r="G8" s="176" t="str">
        <x:v>R</x:v>
      </x:c>
      <x:c r="H8" s="176" t="str">
        <x:v>W</x:v>
      </x:c>
      <x:c r="I8" s="176" t="str">
        <x:v>Ev</x:v>
      </x:c>
      <x:c r="J8" s="176" t="str">
        <x:v>Eh</x:v>
      </x:c>
      <x:c r="K8" s="176" t="str">
        <x:v>Unit</x:v>
      </x:c>
      <x:c r="L8" s="176" t="str">
        <x:v>Source</x:v>
      </x:c>
      <x:c r="M8" s="176" t="str">
        <x:v>Input Status</x:v>
      </x:c>
      <x:c r="N8" s="176" t="str">
        <x:v>Design Method</x:v>
      </x:c>
      <x:c r="O8" s="176" t="str">
        <x:v>Engine Status</x:v>
      </x:c>
      <x:c r="P8" s="176" t="str">
        <x:v>Primary Source</x:v>
      </x:c>
      <x:c r="Q8" s="176" t="str">
        <x:v>Secondary Check</x:v>
      </x:c>
    </x:row>
    <x:row r="9">
      <x:c r="B9" t="str">
        <x:v>Project effect</x:v>
      </x:c>
      <x:c r="C9" t="str">
        <x:f>IF('03_GRAVITY'!C21="","",'03_GRAVITY'!C21)</x:f>
      </x:c>
      <x:c r="D9" t="n">
        <x:f>IF('03_GRAVITY'!C9="Floor",IF('03_GRAVITY'!C22="","",'03_GRAVITY'!C22),0)</x:f>
        <x:v>0</x:v>
      </x:c>
      <x:c r="E9" t="str">
        <x:f>IF('03_GRAVITY'!C9="Roof",IF('03_GRAVITY'!C22="","",'03_GRAVITY'!C22),0)</x:f>
      </x:c>
      <x:c r="F9"/>
      <x:c r="G9"/>
      <x:c r="H9"/>
      <x:c r="I9"/>
      <x:c r="J9"/>
      <x:c r="K9" t="str">
        <x:v>plf / compatible effect</x:v>
      </x:c>
      <x:c r="L9" t="str">
        <x:v>03_GRAVITY + future hazard modules</x:v>
      </x:c>
      <x:c r="M9" t="str">
        <x:f>IF(C9="","MISSING D",IF(OR(F9="",G9="",H9="",I9="",J9=""),"PARTIAL — HAZARD MODULES PENDING","COMPLETE"))</x:f>
        <x:v>MISSING D</x:v>
      </x:c>
      <x:c r="N9" t="str">
        <x:f>IF('01_INPUTS'!C20="","",'01_INPUTS'!C20)</x:f>
      </x:c>
      <x:c r="O9" t="str">
        <x:f>IF(M9="COMPLETE","READY","PRELIMINARY")</x:f>
        <x:v>PRELIMINARY</x:v>
      </x:c>
      <x:c r="P9" t="str">
        <x:v>SRC-09</x:v>
      </x:c>
      <x:c r="Q9" t="str">
        <x:v>SRC-10</x:v>
      </x:c>
    </x:row>
    <x:row r="10">
      <x:c r="B10" s="191" t="str">
        <x:v>Important: a blank load effect means the governing module has not yet supplied that effect. The engine intentionally does not replace an applicable unknown load with zero.</x:v>
      </x:c>
      <x:c r="C10" s="191"/>
      <x:c r="D10" s="191"/>
      <x:c r="E10" s="191"/>
      <x:c r="F10" s="191"/>
      <x:c r="G10" s="191"/>
      <x:c r="H10" s="191"/>
      <x:c r="I10" s="191"/>
      <x:c r="J10" s="191"/>
      <x:c r="K10" s="191"/>
      <x:c r="L10" s="191"/>
      <x:c r="M10" s="191"/>
      <x:c r="N10" s="191"/>
      <x:c r="O10" s="191"/>
      <x:c r="P10" s="191"/>
      <x:c r="Q10" s="191"/>
    </x:row>
    <x:row r="11">
      <x:c r="B11" s="171" t="str">
        <x:v>FIXED QA BENCHMARK VECTOR — INDEPENDENT EXPECTED RESULTS STORED IN QA SHEET</x:v>
      </x:c>
      <x:c r="C11" s="171"/>
      <x:c r="D11" s="171"/>
      <x:c r="E11" s="171"/>
      <x:c r="F11" s="171"/>
      <x:c r="G11" s="171"/>
      <x:c r="H11" s="171"/>
      <x:c r="I11" s="171"/>
      <x:c r="J11" s="171"/>
      <x:c r="K11" s="171"/>
      <x:c r="L11" s="171"/>
      <x:c r="M11" s="171"/>
      <x:c r="N11" s="171"/>
      <x:c r="O11" s="171"/>
      <x:c r="P11" s="171"/>
      <x:c r="Q11" s="171"/>
    </x:row>
    <x:row r="12">
      <x:c r="B12" s="176" t="str">
        <x:v>Symbol</x:v>
      </x:c>
      <x:c r="C12" s="176" t="str">
        <x:v>D</x:v>
      </x:c>
      <x:c r="D12" s="176" t="str">
        <x:v>L</x:v>
      </x:c>
      <x:c r="E12" s="176" t="str">
        <x:v>Lr</x:v>
      </x:c>
      <x:c r="F12" s="176" t="str">
        <x:v>S</x:v>
      </x:c>
      <x:c r="G12" s="176" t="str">
        <x:v>R</x:v>
      </x:c>
      <x:c r="H12" s="176" t="str">
        <x:v>W</x:v>
      </x:c>
      <x:c r="I12" s="176" t="str">
        <x:v>Ev</x:v>
      </x:c>
      <x:c r="J12" s="176" t="str">
        <x:v>Eh</x:v>
      </x:c>
      <x:c r="K12" s="176" t="str">
        <x:v>Unit</x:v>
      </x:c>
      <x:c r="L12" s="176" t="str">
        <x:v>Purpose</x:v>
      </x:c>
      <x:c r="M12" s="176" t="str">
        <x:v>Status</x:v>
      </x:c>
      <x:c r="N12" s="176" t="str">
        <x:v>Method</x:v>
      </x:c>
      <x:c r="O12" s="176" t="str">
        <x:v>Version</x:v>
      </x:c>
      <x:c r="P12" s="176" t="str">
        <x:v>Source</x:v>
      </x:c>
      <x:c r="Q12" s="176" t="str">
        <x:v>Check</x:v>
      </x:c>
    </x:row>
    <x:row r="13">
      <x:c r="B13" t="str">
        <x:v>Benchmark</x:v>
      </x:c>
      <x:c r="C13" t="n">
        <x:v>10</x:v>
      </x:c>
      <x:c r="D13" t="n">
        <x:v>20</x:v>
      </x:c>
      <x:c r="E13" t="n">
        <x:v>15</x:v>
      </x:c>
      <x:c r="F13" t="n">
        <x:v>12</x:v>
      </x:c>
      <x:c r="G13" t="n">
        <x:v>8</x:v>
      </x:c>
      <x:c r="H13" t="n">
        <x:v>25</x:v>
      </x:c>
      <x:c r="I13" t="n">
        <x:v>2</x:v>
      </x:c>
      <x:c r="J13" t="n">
        <x:v>18</x:v>
      </x:c>
      <x:c r="K13" t="str">
        <x:v>arbitrary compatible units</x:v>
      </x:c>
      <x:c r="L13" t="str">
        <x:v>Exercise every modeled coefficient/sign path</x:v>
      </x:c>
      <x:c r="M13" t="str">
        <x:v>LOCKED</x:v>
      </x:c>
      <x:c r="N13" t="str">
        <x:v>Independent Python arithmetic</x:v>
      </x:c>
      <x:c r="O13" t="str">
        <x:v>v3</x:v>
      </x:c>
      <x:c r="P13" t="str">
        <x:v>ASCE 7-22 Ch. 2</x:v>
      </x:c>
      <x:c r="Q13" t="str">
        <x:v>05_QA_VALIDATION</x:v>
      </x:c>
    </x:row>
    <x:row r="15">
      <x:c r="B15" s="171" t="str">
        <x:v>EXPLICIT COEFFICIENT MATRIX + PROJECT DEMAND + REDUNDANT DIRECT FORMULA</x:v>
      </x:c>
      <x:c r="C15" s="171"/>
      <x:c r="D15" s="171"/>
      <x:c r="E15" s="171"/>
      <x:c r="F15" s="171"/>
      <x:c r="G15" s="171"/>
      <x:c r="H15" s="171"/>
      <x:c r="I15" s="171"/>
      <x:c r="J15" s="171"/>
      <x:c r="K15" s="171"/>
      <x:c r="L15" s="171"/>
      <x:c r="M15" s="171"/>
      <x:c r="N15" s="171"/>
      <x:c r="O15" s="171"/>
      <x:c r="P15" s="171"/>
      <x:c r="Q15" s="171"/>
    </x:row>
    <x:row r="16">
      <x:c r="B16" s="176" t="str">
        <x:v>Combo ID</x:v>
      </x:c>
      <x:c r="C16" s="176" t="str">
        <x:v>Basis</x:v>
      </x:c>
      <x:c r="D16" s="176" t="str">
        <x:v>Branch / Purpose</x:v>
      </x:c>
      <x:c r="E16" s="176" t="str">
        <x:v>D</x:v>
      </x:c>
      <x:c r="F16" s="176" t="str">
        <x:v>L</x:v>
      </x:c>
      <x:c r="G16" s="176" t="str">
        <x:v>Lr</x:v>
      </x:c>
      <x:c r="H16" s="176" t="str">
        <x:v>S</x:v>
      </x:c>
      <x:c r="I16" s="176" t="str">
        <x:v>R</x:v>
      </x:c>
      <x:c r="J16" s="176" t="str">
        <x:v>W</x:v>
      </x:c>
      <x:c r="K16" s="176" t="str">
        <x:v>Ev</x:v>
      </x:c>
      <x:c r="L16" s="176" t="str">
        <x:v>Eh</x:v>
      </x:c>
      <x:c r="M16" s="176" t="str">
        <x:v>Project Demand</x:v>
      </x:c>
      <x:c r="N16" s="176" t="str">
        <x:v>Direct Cross-Check</x:v>
      </x:c>
      <x:c r="O16" s="176" t="str">
        <x:v>Abs Diff</x:v>
      </x:c>
      <x:c r="P16" s="176" t="str">
        <x:v>Status</x:v>
      </x:c>
      <x:c r="Q16" s="176" t="str">
        <x:v>Exact Reference</x:v>
      </x:c>
    </x:row>
    <x:row r="17">
      <x:c r="B17" s="142" t="str">
        <x:v>SD-1</x:v>
      </x:c>
      <x:c r="C17" s="142" t="str">
        <x:v>Strength/LRFD</x:v>
      </x:c>
      <x:c r="D17" s="142" t="str">
        <x:v>Dead load</x:v>
      </x:c>
      <x:c r="E17" s="179" t="n">
        <x:v>1.4</x:v>
      </x:c>
      <x:c r="F17" s="179" t="n">
        <x:v>0</x:v>
      </x:c>
      <x:c r="G17" s="179" t="n">
        <x:v>0</x:v>
      </x:c>
      <x:c r="H17" s="179" t="n">
        <x:v>0</x:v>
      </x:c>
      <x:c r="I17" s="179" t="n">
        <x:v>0</x:v>
      </x:c>
      <x:c r="J17" s="179" t="n">
        <x:v>0</x:v>
      </x:c>
      <x:c r="K17" s="179" t="n">
        <x:v>0</x:v>
      </x:c>
      <x:c r="L17" s="179" t="n">
        <x:v>0</x:v>
      </x:c>
      <x:c r="M17" s="180" t="str">
        <x:f>IF(OR(AND(E17&lt;&gt;0,$C$9="")),"",SUMPRODUCT(E17:L17,$C$9:$J$9))</x:f>
      </x:c>
      <x:c r="N17" s="180" t="str">
        <x:f>IF(M17="","",(1.4)*$C$9)</x:f>
      </x:c>
      <x:c r="O17" s="180" t="str">
        <x:f>IF(OR(M17="",N17=""),"",ABS(M17-N17))</x:f>
      </x:c>
      <x:c r="P17" s="142" t="str">
        <x:f>IF(M17="","PENDING",IF(O17&lt;=0.0001,"PASS","REVIEW"))</x:f>
        <x:v>PENDING</x:v>
      </x:c>
      <x:c r="Q17" s="142" t="str">
        <x:v>ASCE 7-22 §2.3.1 Eq. 1a</x:v>
      </x:c>
    </x:row>
    <x:row r="18">
      <x:c r="B18" s="142" t="str">
        <x:v>SD-2-Lr</x:v>
      </x:c>
      <x:c r="C18" s="142" t="str">
        <x:v>Strength/LRFD</x:v>
      </x:c>
      <x:c r="D18" s="142" t="str">
        <x:v>Live + roof live companion</x:v>
      </x:c>
      <x:c r="E18" s="179" t="n">
        <x:v>1.2</x:v>
      </x:c>
      <x:c r="F18" s="179" t="n">
        <x:v>1.6</x:v>
      </x:c>
      <x:c r="G18" s="179" t="n">
        <x:v>0.5</x:v>
      </x:c>
      <x:c r="H18" s="179" t="n">
        <x:v>0</x:v>
      </x:c>
      <x:c r="I18" s="179" t="n">
        <x:v>0</x:v>
      </x:c>
      <x:c r="J18" s="179" t="n">
        <x:v>0</x:v>
      </x:c>
      <x:c r="K18" s="179" t="n">
        <x:v>0</x:v>
      </x:c>
      <x:c r="L18" s="179" t="n">
        <x:v>0</x:v>
      </x:c>
      <x:c r="M18" s="180" t="str">
        <x:f>IF(OR(AND(E18&lt;&gt;0,$C$9=""),AND(F18&lt;&gt;0,$D$9=""),AND(G18&lt;&gt;0,$E$9="")),"",SUMPRODUCT(E18:L18,$C$9:$J$9))</x:f>
      </x:c>
      <x:c r="N18" s="180" t="str">
        <x:f>IF(M18="","",(1.2)*$C$9+(1.6)*$D$9+(0.5)*$E$9)</x:f>
      </x:c>
      <x:c r="O18" s="180" t="str">
        <x:f>IF(OR(M18="",N18=""),"",ABS(M18-N18))</x:f>
      </x:c>
      <x:c r="P18" s="142" t="str">
        <x:f>IF(M18="","PENDING",IF(O18&lt;=0.0001,"PASS","REVIEW"))</x:f>
        <x:v>PENDING</x:v>
      </x:c>
      <x:c r="Q18" s="142" t="str">
        <x:v>ASCE 7-22 §2.3.1 Eq. 2a</x:v>
      </x:c>
    </x:row>
    <x:row r="19">
      <x:c r="B19" s="142" t="str">
        <x:v>SD-2-S</x:v>
      </x:c>
      <x:c r="C19" s="142" t="str">
        <x:v>Strength/LRFD</x:v>
      </x:c>
      <x:c r="D19" s="142" t="str">
        <x:v>Live + snow companion</x:v>
      </x:c>
      <x:c r="E19" s="179" t="n">
        <x:v>1.2</x:v>
      </x:c>
      <x:c r="F19" s="179" t="n">
        <x:v>1.6</x:v>
      </x:c>
      <x:c r="G19" s="179" t="n">
        <x:v>0</x:v>
      </x:c>
      <x:c r="H19" s="179" t="n">
        <x:v>0.3</x:v>
      </x:c>
      <x:c r="I19" s="179" t="n">
        <x:v>0</x:v>
      </x:c>
      <x:c r="J19" s="179" t="n">
        <x:v>0</x:v>
      </x:c>
      <x:c r="K19" s="179" t="n">
        <x:v>0</x:v>
      </x:c>
      <x:c r="L19" s="179" t="n">
        <x:v>0</x:v>
      </x:c>
      <x:c r="M19" s="180" t="str">
        <x:f>IF(OR(AND(E19&lt;&gt;0,$C$9=""),AND(F19&lt;&gt;0,$D$9=""),AND(H19&lt;&gt;0,$F$9="")),"",SUMPRODUCT(E19:L19,$C$9:$J$9))</x:f>
      </x:c>
      <x:c r="N19" s="180" t="str">
        <x:f>IF(M19="","",(1.2)*$C$9+(1.6)*$D$9+(0.3)*$F$9)</x:f>
      </x:c>
      <x:c r="O19" s="180" t="str">
        <x:f>IF(OR(M19="",N19=""),"",ABS(M19-N19))</x:f>
      </x:c>
      <x:c r="P19" s="142" t="str">
        <x:f>IF(M19="","PENDING",IF(O19&lt;=0.0001,"PASS","REVIEW"))</x:f>
        <x:v>PENDING</x:v>
      </x:c>
      <x:c r="Q19" s="142" t="str">
        <x:v>ASCE 7-22 §2.3.1 Eq. 2a</x:v>
      </x:c>
    </x:row>
    <x:row r="20">
      <x:c r="B20" s="142" t="str">
        <x:v>SD-2-R</x:v>
      </x:c>
      <x:c r="C20" s="142" t="str">
        <x:v>Strength/LRFD</x:v>
      </x:c>
      <x:c r="D20" s="142" t="str">
        <x:v>Live + rain companion</x:v>
      </x:c>
      <x:c r="E20" s="179" t="n">
        <x:v>1.2</x:v>
      </x:c>
      <x:c r="F20" s="179" t="n">
        <x:v>1.6</x:v>
      </x:c>
      <x:c r="G20" s="179" t="n">
        <x:v>0</x:v>
      </x:c>
      <x:c r="H20" s="179" t="n">
        <x:v>0</x:v>
      </x:c>
      <x:c r="I20" s="179" t="n">
        <x:v>0.5</x:v>
      </x:c>
      <x:c r="J20" s="179" t="n">
        <x:v>0</x:v>
      </x:c>
      <x:c r="K20" s="179" t="n">
        <x:v>0</x:v>
      </x:c>
      <x:c r="L20" s="179" t="n">
        <x:v>0</x:v>
      </x:c>
      <x:c r="M20" s="180" t="str">
        <x:f>IF(OR(AND(E20&lt;&gt;0,$C$9=""),AND(F20&lt;&gt;0,$D$9=""),AND(I20&lt;&gt;0,$G$9="")),"",SUMPRODUCT(E20:L20,$C$9:$J$9))</x:f>
      </x:c>
      <x:c r="N20" s="180" t="str">
        <x:f>IF(M20="","",(1.2)*$C$9+(1.6)*$D$9+(0.5)*$G$9)</x:f>
      </x:c>
      <x:c r="O20" s="180" t="str">
        <x:f>IF(OR(M20="",N20=""),"",ABS(M20-N20))</x:f>
      </x:c>
      <x:c r="P20" s="142" t="str">
        <x:f>IF(M20="","PENDING",IF(O20&lt;=0.0001,"PASS","REVIEW"))</x:f>
        <x:v>PENDING</x:v>
      </x:c>
      <x:c r="Q20" s="142" t="str">
        <x:v>ASCE 7-22 §2.3.1 Eq. 2a</x:v>
      </x:c>
    </x:row>
    <x:row r="21">
      <x:c r="B21" s="142" t="str">
        <x:v>SD-3-Lr-L</x:v>
      </x:c>
      <x:c r="C21" s="142" t="str">
        <x:v>Strength/LRFD</x:v>
      </x:c>
      <x:c r="D21" s="142" t="str">
        <x:v>Roof live principal + floor live</x:v>
      </x:c>
      <x:c r="E21" s="179" t="n">
        <x:v>1.2</x:v>
      </x:c>
      <x:c r="F21" s="179" t="n">
        <x:v>1</x:v>
      </x:c>
      <x:c r="G21" s="179" t="n">
        <x:v>1.6</x:v>
      </x:c>
      <x:c r="H21" s="179" t="n">
        <x:v>0</x:v>
      </x:c>
      <x:c r="I21" s="179" t="n">
        <x:v>0</x:v>
      </x:c>
      <x:c r="J21" s="179" t="n">
        <x:v>0</x:v>
      </x:c>
      <x:c r="K21" s="179" t="n">
        <x:v>0</x:v>
      </x:c>
      <x:c r="L21" s="179" t="n">
        <x:v>0</x:v>
      </x:c>
      <x:c r="M21" s="180" t="str">
        <x:f>IF(OR(AND(E21&lt;&gt;0,$C$9=""),AND(F21&lt;&gt;0,$D$9=""),AND(G21&lt;&gt;0,$E$9="")),"",SUMPRODUCT(E21:L21,$C$9:$J$9))</x:f>
      </x:c>
      <x:c r="N21" s="180" t="str">
        <x:f>IF(M21="","",(1.2)*$C$9+(1.0)*$D$9+(1.6)*$E$9)</x:f>
      </x:c>
      <x:c r="O21" s="180" t="str">
        <x:f>IF(OR(M21="",N21=""),"",ABS(M21-N21))</x:f>
      </x:c>
      <x:c r="P21" s="142" t="str">
        <x:f>IF(M21="","PENDING",IF(O21&lt;=0.0001,"PASS","REVIEW"))</x:f>
        <x:v>PENDING</x:v>
      </x:c>
      <x:c r="Q21" s="142" t="str">
        <x:v>ASCE 7-22 §2.3.1 Eq. 3a</x:v>
      </x:c>
    </x:row>
    <x:row r="22">
      <x:c r="B22" s="142" t="str">
        <x:v>SD-3-Lr-W+</x:v>
      </x:c>
      <x:c r="C22" s="142" t="str">
        <x:v>Strength/LRFD</x:v>
      </x:c>
      <x:c r="D22" s="142" t="str">
        <x:v>Roof live principal + +wind</x:v>
      </x:c>
      <x:c r="E22" s="179" t="n">
        <x:v>1.2</x:v>
      </x:c>
      <x:c r="F22" s="179" t="n">
        <x:v>0</x:v>
      </x:c>
      <x:c r="G22" s="179" t="n">
        <x:v>1.6</x:v>
      </x:c>
      <x:c r="H22" s="179" t="n">
        <x:v>0</x:v>
      </x:c>
      <x:c r="I22" s="179" t="n">
        <x:v>0</x:v>
      </x:c>
      <x:c r="J22" s="179" t="n">
        <x:v>0.5</x:v>
      </x:c>
      <x:c r="K22" s="179" t="n">
        <x:v>0</x:v>
      </x:c>
      <x:c r="L22" s="179" t="n">
        <x:v>0</x:v>
      </x:c>
      <x:c r="M22" s="180" t="str">
        <x:f>IF(OR(AND(E22&lt;&gt;0,$C$9=""),AND(G22&lt;&gt;0,$E$9=""),AND(J22&lt;&gt;0,$H$9="")),"",SUMPRODUCT(E22:L22,$C$9:$J$9))</x:f>
      </x:c>
      <x:c r="N22" s="180" t="str">
        <x:f>IF(M22="","",(1.2)*$C$9+(1.6)*$E$9+(0.5)*$H$9)</x:f>
      </x:c>
      <x:c r="O22" s="180" t="str">
        <x:f>IF(OR(M22="",N22=""),"",ABS(M22-N22))</x:f>
      </x:c>
      <x:c r="P22" s="142" t="str">
        <x:f>IF(M22="","PENDING",IF(O22&lt;=0.0001,"PASS","REVIEW"))</x:f>
        <x:v>PENDING</x:v>
      </x:c>
      <x:c r="Q22" s="142" t="str">
        <x:v>ASCE 7-22 §2.3.1 Eq. 3a</x:v>
      </x:c>
    </x:row>
    <x:row r="23">
      <x:c r="B23" s="142" t="str">
        <x:v>SD-3-Lr-W-</x:v>
      </x:c>
      <x:c r="C23" s="142" t="str">
        <x:v>Strength/LRFD</x:v>
      </x:c>
      <x:c r="D23" s="142" t="str">
        <x:v>Roof live principal + -wind</x:v>
      </x:c>
      <x:c r="E23" s="179" t="n">
        <x:v>1.2</x:v>
      </x:c>
      <x:c r="F23" s="179" t="n">
        <x:v>0</x:v>
      </x:c>
      <x:c r="G23" s="179" t="n">
        <x:v>1.6</x:v>
      </x:c>
      <x:c r="H23" s="179" t="n">
        <x:v>0</x:v>
      </x:c>
      <x:c r="I23" s="179" t="n">
        <x:v>0</x:v>
      </x:c>
      <x:c r="J23" s="179" t="n">
        <x:v>-0.5</x:v>
      </x:c>
      <x:c r="K23" s="179" t="n">
        <x:v>0</x:v>
      </x:c>
      <x:c r="L23" s="179" t="n">
        <x:v>0</x:v>
      </x:c>
      <x:c r="M23" s="180" t="str">
        <x:f>IF(OR(AND(E23&lt;&gt;0,$C$9=""),AND(G23&lt;&gt;0,$E$9=""),AND(J23&lt;&gt;0,$H$9="")),"",SUMPRODUCT(E23:L23,$C$9:$J$9))</x:f>
      </x:c>
      <x:c r="N23" s="180" t="str">
        <x:f>IF(M23="","",(1.2)*$C$9+(1.6)*$E$9+(-0.5)*$H$9)</x:f>
      </x:c>
      <x:c r="O23" s="180" t="str">
        <x:f>IF(OR(M23="",N23=""),"",ABS(M23-N23))</x:f>
      </x:c>
      <x:c r="P23" s="142" t="str">
        <x:f>IF(M23="","PENDING",IF(O23&lt;=0.0001,"PASS","REVIEW"))</x:f>
        <x:v>PENDING</x:v>
      </x:c>
      <x:c r="Q23" s="142" t="str">
        <x:v>ASCE 7-22 §2.3.1 Eq. 3a</x:v>
      </x:c>
    </x:row>
    <x:row r="24">
      <x:c r="B24" s="142" t="str">
        <x:v>SD-3-S-L</x:v>
      </x:c>
      <x:c r="C24" s="142" t="str">
        <x:v>Strength/LRFD</x:v>
      </x:c>
      <x:c r="D24" s="142" t="str">
        <x:v>Snow principal + floor live</x:v>
      </x:c>
      <x:c r="E24" s="179" t="n">
        <x:v>1.2</x:v>
      </x:c>
      <x:c r="F24" s="179" t="n">
        <x:v>1</x:v>
      </x:c>
      <x:c r="G24" s="179" t="n">
        <x:v>0</x:v>
      </x:c>
      <x:c r="H24" s="179" t="n">
        <x:v>1</x:v>
      </x:c>
      <x:c r="I24" s="179" t="n">
        <x:v>0</x:v>
      </x:c>
      <x:c r="J24" s="179" t="n">
        <x:v>0</x:v>
      </x:c>
      <x:c r="K24" s="179" t="n">
        <x:v>0</x:v>
      </x:c>
      <x:c r="L24" s="179" t="n">
        <x:v>0</x:v>
      </x:c>
      <x:c r="M24" s="180" t="str">
        <x:f>IF(OR(AND(E24&lt;&gt;0,$C$9=""),AND(F24&lt;&gt;0,$D$9=""),AND(H24&lt;&gt;0,$F$9="")),"",SUMPRODUCT(E24:L24,$C$9:$J$9))</x:f>
      </x:c>
      <x:c r="N24" s="180" t="str">
        <x:f>IF(M24="","",(1.2)*$C$9+(1.0)*$D$9+(1.0)*$F$9)</x:f>
      </x:c>
      <x:c r="O24" s="180" t="str">
        <x:f>IF(OR(M24="",N24=""),"",ABS(M24-N24))</x:f>
      </x:c>
      <x:c r="P24" s="142" t="str">
        <x:f>IF(M24="","PENDING",IF(O24&lt;=0.0001,"PASS","REVIEW"))</x:f>
        <x:v>PENDING</x:v>
      </x:c>
      <x:c r="Q24" s="142" t="str">
        <x:v>ASCE 7-22 §2.3.1 Eq. 3a</x:v>
      </x:c>
    </x:row>
    <x:row r="25">
      <x:c r="B25" s="142" t="str">
        <x:v>SD-3-S-W+</x:v>
      </x:c>
      <x:c r="C25" s="142" t="str">
        <x:v>Strength/LRFD</x:v>
      </x:c>
      <x:c r="D25" s="142" t="str">
        <x:v>Snow principal + +wind</x:v>
      </x:c>
      <x:c r="E25" s="179" t="n">
        <x:v>1.2</x:v>
      </x:c>
      <x:c r="F25" s="179" t="n">
        <x:v>0</x:v>
      </x:c>
      <x:c r="G25" s="179" t="n">
        <x:v>0</x:v>
      </x:c>
      <x:c r="H25" s="179" t="n">
        <x:v>1</x:v>
      </x:c>
      <x:c r="I25" s="179" t="n">
        <x:v>0</x:v>
      </x:c>
      <x:c r="J25" s="179" t="n">
        <x:v>0.5</x:v>
      </x:c>
      <x:c r="K25" s="179" t="n">
        <x:v>0</x:v>
      </x:c>
      <x:c r="L25" s="179" t="n">
        <x:v>0</x:v>
      </x:c>
      <x:c r="M25" s="180" t="str">
        <x:f>IF(OR(AND(E25&lt;&gt;0,$C$9=""),AND(H25&lt;&gt;0,$F$9=""),AND(J25&lt;&gt;0,$H$9="")),"",SUMPRODUCT(E25:L25,$C$9:$J$9))</x:f>
      </x:c>
      <x:c r="N25" s="180" t="str">
        <x:f>IF(M25="","",(1.2)*$C$9+(1.0)*$F$9+(0.5)*$H$9)</x:f>
      </x:c>
      <x:c r="O25" s="180" t="str">
        <x:f>IF(OR(M25="",N25=""),"",ABS(M25-N25))</x:f>
      </x:c>
      <x:c r="P25" s="142" t="str">
        <x:f>IF(M25="","PENDING",IF(O25&lt;=0.0001,"PASS","REVIEW"))</x:f>
        <x:v>PENDING</x:v>
      </x:c>
      <x:c r="Q25" s="142" t="str">
        <x:v>ASCE 7-22 §2.3.1 Eq. 3a</x:v>
      </x:c>
    </x:row>
    <x:row r="26">
      <x:c r="B26" s="142" t="str">
        <x:v>SD-3-S-W-</x:v>
      </x:c>
      <x:c r="C26" s="142" t="str">
        <x:v>Strength/LRFD</x:v>
      </x:c>
      <x:c r="D26" s="142" t="str">
        <x:v>Snow principal + -wind</x:v>
      </x:c>
      <x:c r="E26" s="179" t="n">
        <x:v>1.2</x:v>
      </x:c>
      <x:c r="F26" s="179" t="n">
        <x:v>0</x:v>
      </x:c>
      <x:c r="G26" s="179" t="n">
        <x:v>0</x:v>
      </x:c>
      <x:c r="H26" s="179" t="n">
        <x:v>1</x:v>
      </x:c>
      <x:c r="I26" s="179" t="n">
        <x:v>0</x:v>
      </x:c>
      <x:c r="J26" s="179" t="n">
        <x:v>-0.5</x:v>
      </x:c>
      <x:c r="K26" s="179" t="n">
        <x:v>0</x:v>
      </x:c>
      <x:c r="L26" s="179" t="n">
        <x:v>0</x:v>
      </x:c>
      <x:c r="M26" s="180" t="str">
        <x:f>IF(OR(AND(E26&lt;&gt;0,$C$9=""),AND(H26&lt;&gt;0,$F$9=""),AND(J26&lt;&gt;0,$H$9="")),"",SUMPRODUCT(E26:L26,$C$9:$J$9))</x:f>
      </x:c>
      <x:c r="N26" s="180" t="str">
        <x:f>IF(M26="","",(1.2)*$C$9+(1.0)*$F$9+(-0.5)*$H$9)</x:f>
      </x:c>
      <x:c r="O26" s="180" t="str">
        <x:f>IF(OR(M26="",N26=""),"",ABS(M26-N26))</x:f>
      </x:c>
      <x:c r="P26" s="142" t="str">
        <x:f>IF(M26="","PENDING",IF(O26&lt;=0.0001,"PASS","REVIEW"))</x:f>
        <x:v>PENDING</x:v>
      </x:c>
      <x:c r="Q26" s="142" t="str">
        <x:v>ASCE 7-22 §2.3.1 Eq. 3a</x:v>
      </x:c>
    </x:row>
    <x:row r="27">
      <x:c r="B27" s="142" t="str">
        <x:v>SD-3-R-L</x:v>
      </x:c>
      <x:c r="C27" s="142" t="str">
        <x:v>Strength/LRFD</x:v>
      </x:c>
      <x:c r="D27" s="142" t="str">
        <x:v>Rain principal + floor live</x:v>
      </x:c>
      <x:c r="E27" s="179" t="n">
        <x:v>1.2</x:v>
      </x:c>
      <x:c r="F27" s="179" t="n">
        <x:v>1</x:v>
      </x:c>
      <x:c r="G27" s="179" t="n">
        <x:v>0</x:v>
      </x:c>
      <x:c r="H27" s="179" t="n">
        <x:v>0</x:v>
      </x:c>
      <x:c r="I27" s="179" t="n">
        <x:v>1.6</x:v>
      </x:c>
      <x:c r="J27" s="179" t="n">
        <x:v>0</x:v>
      </x:c>
      <x:c r="K27" s="179" t="n">
        <x:v>0</x:v>
      </x:c>
      <x:c r="L27" s="179" t="n">
        <x:v>0</x:v>
      </x:c>
      <x:c r="M27" s="180" t="str">
        <x:f>IF(OR(AND(E27&lt;&gt;0,$C$9=""),AND(F27&lt;&gt;0,$D$9=""),AND(I27&lt;&gt;0,$G$9="")),"",SUMPRODUCT(E27:L27,$C$9:$J$9))</x:f>
      </x:c>
      <x:c r="N27" s="180" t="str">
        <x:f>IF(M27="","",(1.2)*$C$9+(1.0)*$D$9+(1.6)*$G$9)</x:f>
      </x:c>
      <x:c r="O27" s="180" t="str">
        <x:f>IF(OR(M27="",N27=""),"",ABS(M27-N27))</x:f>
      </x:c>
      <x:c r="P27" s="142" t="str">
        <x:f>IF(M27="","PENDING",IF(O27&lt;=0.0001,"PASS","REVIEW"))</x:f>
        <x:v>PENDING</x:v>
      </x:c>
      <x:c r="Q27" s="142" t="str">
        <x:v>ASCE 7-22 §2.3.1 Eq. 3a</x:v>
      </x:c>
    </x:row>
    <x:row r="28">
      <x:c r="B28" s="142" t="str">
        <x:v>SD-3-R-W+</x:v>
      </x:c>
      <x:c r="C28" s="142" t="str">
        <x:v>Strength/LRFD</x:v>
      </x:c>
      <x:c r="D28" s="142" t="str">
        <x:v>Rain principal + +wind</x:v>
      </x:c>
      <x:c r="E28" s="179" t="n">
        <x:v>1.2</x:v>
      </x:c>
      <x:c r="F28" s="179" t="n">
        <x:v>0</x:v>
      </x:c>
      <x:c r="G28" s="179" t="n">
        <x:v>0</x:v>
      </x:c>
      <x:c r="H28" s="179" t="n">
        <x:v>0</x:v>
      </x:c>
      <x:c r="I28" s="179" t="n">
        <x:v>1.6</x:v>
      </x:c>
      <x:c r="J28" s="179" t="n">
        <x:v>0.5</x:v>
      </x:c>
      <x:c r="K28" s="179" t="n">
        <x:v>0</x:v>
      </x:c>
      <x:c r="L28" s="179" t="n">
        <x:v>0</x:v>
      </x:c>
      <x:c r="M28" s="180" t="str">
        <x:f>IF(OR(AND(E28&lt;&gt;0,$C$9=""),AND(I28&lt;&gt;0,$G$9=""),AND(J28&lt;&gt;0,$H$9="")),"",SUMPRODUCT(E28:L28,$C$9:$J$9))</x:f>
      </x:c>
      <x:c r="N28" s="180" t="str">
        <x:f>IF(M28="","",(1.2)*$C$9+(1.6)*$G$9+(0.5)*$H$9)</x:f>
      </x:c>
      <x:c r="O28" s="180" t="str">
        <x:f>IF(OR(M28="",N28=""),"",ABS(M28-N28))</x:f>
      </x:c>
      <x:c r="P28" s="142" t="str">
        <x:f>IF(M28="","PENDING",IF(O28&lt;=0.0001,"PASS","REVIEW"))</x:f>
        <x:v>PENDING</x:v>
      </x:c>
      <x:c r="Q28" s="142" t="str">
        <x:v>ASCE 7-22 §2.3.1 Eq. 3a</x:v>
      </x:c>
    </x:row>
    <x:row r="29">
      <x:c r="B29" s="142" t="str">
        <x:v>SD-3-R-W-</x:v>
      </x:c>
      <x:c r="C29" s="142" t="str">
        <x:v>Strength/LRFD</x:v>
      </x:c>
      <x:c r="D29" s="142" t="str">
        <x:v>Rain principal + -wind</x:v>
      </x:c>
      <x:c r="E29" s="179" t="n">
        <x:v>1.2</x:v>
      </x:c>
      <x:c r="F29" s="179" t="n">
        <x:v>0</x:v>
      </x:c>
      <x:c r="G29" s="179" t="n">
        <x:v>0</x:v>
      </x:c>
      <x:c r="H29" s="179" t="n">
        <x:v>0</x:v>
      </x:c>
      <x:c r="I29" s="179" t="n">
        <x:v>1.6</x:v>
      </x:c>
      <x:c r="J29" s="179" t="n">
        <x:v>-0.5</x:v>
      </x:c>
      <x:c r="K29" s="179" t="n">
        <x:v>0</x:v>
      </x:c>
      <x:c r="L29" s="179" t="n">
        <x:v>0</x:v>
      </x:c>
      <x:c r="M29" s="180" t="str">
        <x:f>IF(OR(AND(E29&lt;&gt;0,$C$9=""),AND(I29&lt;&gt;0,$G$9=""),AND(J29&lt;&gt;0,$H$9="")),"",SUMPRODUCT(E29:L29,$C$9:$J$9))</x:f>
      </x:c>
      <x:c r="N29" s="180" t="str">
        <x:f>IF(M29="","",(1.2)*$C$9+(1.6)*$G$9+(-0.5)*$H$9)</x:f>
      </x:c>
      <x:c r="O29" s="180" t="str">
        <x:f>IF(OR(M29="",N29=""),"",ABS(M29-N29))</x:f>
      </x:c>
      <x:c r="P29" s="142" t="str">
        <x:f>IF(M29="","PENDING",IF(O29&lt;=0.0001,"PASS","REVIEW"))</x:f>
        <x:v>PENDING</x:v>
      </x:c>
      <x:c r="Q29" s="142" t="str">
        <x:v>ASCE 7-22 §2.3.1 Eq. 3a</x:v>
      </x:c>
    </x:row>
    <x:row r="30">
      <x:c r="B30" s="142" t="str">
        <x:v>SD-4-Lr-W+</x:v>
      </x:c>
      <x:c r="C30" s="142" t="str">
        <x:v>Strength/LRFD</x:v>
      </x:c>
      <x:c r="D30" s="142" t="str">
        <x:v>+Wind principal + roof live companion</x:v>
      </x:c>
      <x:c r="E30" s="179" t="n">
        <x:v>1.2</x:v>
      </x:c>
      <x:c r="F30" s="179" t="n">
        <x:v>1</x:v>
      </x:c>
      <x:c r="G30" s="179" t="n">
        <x:v>0.5</x:v>
      </x:c>
      <x:c r="H30" s="179" t="n">
        <x:v>0</x:v>
      </x:c>
      <x:c r="I30" s="179" t="n">
        <x:v>0</x:v>
      </x:c>
      <x:c r="J30" s="179" t="n">
        <x:v>1</x:v>
      </x:c>
      <x:c r="K30" s="179" t="n">
        <x:v>0</x:v>
      </x:c>
      <x:c r="L30" s="179" t="n">
        <x:v>0</x:v>
      </x:c>
      <x:c r="M30" s="180" t="str">
        <x:f>IF(OR(AND(E30&lt;&gt;0,$C$9=""),AND(F30&lt;&gt;0,$D$9=""),AND(G30&lt;&gt;0,$E$9=""),AND(J30&lt;&gt;0,$H$9="")),"",SUMPRODUCT(E30:L30,$C$9:$J$9))</x:f>
      </x:c>
      <x:c r="N30" s="180" t="str">
        <x:f>IF(M30="","",(1.2)*$C$9+(1.0)*$D$9+(0.5)*$E$9+(1.0)*$H$9)</x:f>
      </x:c>
      <x:c r="O30" s="180" t="str">
        <x:f>IF(OR(M30="",N30=""),"",ABS(M30-N30))</x:f>
      </x:c>
      <x:c r="P30" s="142" t="str">
        <x:f>IF(M30="","PENDING",IF(O30&lt;=0.0001,"PASS","REVIEW"))</x:f>
        <x:v>PENDING</x:v>
      </x:c>
      <x:c r="Q30" s="142" t="str">
        <x:v>ASCE 7-22 §2.3.1 Eq. 4a</x:v>
      </x:c>
    </x:row>
    <x:row r="31">
      <x:c r="B31" s="142" t="str">
        <x:v>SD-4-Lr-W-</x:v>
      </x:c>
      <x:c r="C31" s="142" t="str">
        <x:v>Strength/LRFD</x:v>
      </x:c>
      <x:c r="D31" s="142" t="str">
        <x:v>-Wind principal + roof live companion</x:v>
      </x:c>
      <x:c r="E31" s="179" t="n">
        <x:v>1.2</x:v>
      </x:c>
      <x:c r="F31" s="179" t="n">
        <x:v>1</x:v>
      </x:c>
      <x:c r="G31" s="179" t="n">
        <x:v>0.5</x:v>
      </x:c>
      <x:c r="H31" s="179" t="n">
        <x:v>0</x:v>
      </x:c>
      <x:c r="I31" s="179" t="n">
        <x:v>0</x:v>
      </x:c>
      <x:c r="J31" s="179" t="n">
        <x:v>-1</x:v>
      </x:c>
      <x:c r="K31" s="179" t="n">
        <x:v>0</x:v>
      </x:c>
      <x:c r="L31" s="179" t="n">
        <x:v>0</x:v>
      </x:c>
      <x:c r="M31" s="180" t="str">
        <x:f>IF(OR(AND(E31&lt;&gt;0,$C$9=""),AND(F31&lt;&gt;0,$D$9=""),AND(G31&lt;&gt;0,$E$9=""),AND(J31&lt;&gt;0,$H$9="")),"",SUMPRODUCT(E31:L31,$C$9:$J$9))</x:f>
      </x:c>
      <x:c r="N31" s="180" t="str">
        <x:f>IF(M31="","",(1.2)*$C$9+(1.0)*$D$9+(0.5)*$E$9+(-1.0)*$H$9)</x:f>
      </x:c>
      <x:c r="O31" s="180" t="str">
        <x:f>IF(OR(M31="",N31=""),"",ABS(M31-N31))</x:f>
      </x:c>
      <x:c r="P31" s="142" t="str">
        <x:f>IF(M31="","PENDING",IF(O31&lt;=0.0001,"PASS","REVIEW"))</x:f>
        <x:v>PENDING</x:v>
      </x:c>
      <x:c r="Q31" s="142" t="str">
        <x:v>ASCE 7-22 §2.3.1 Eq. 4a</x:v>
      </x:c>
    </x:row>
    <x:row r="32">
      <x:c r="B32" s="142" t="str">
        <x:v>SD-4-S-W+</x:v>
      </x:c>
      <x:c r="C32" s="142" t="str">
        <x:v>Strength/LRFD</x:v>
      </x:c>
      <x:c r="D32" s="142" t="str">
        <x:v>+Wind principal + snow companion</x:v>
      </x:c>
      <x:c r="E32" s="179" t="n">
        <x:v>1.2</x:v>
      </x:c>
      <x:c r="F32" s="179" t="n">
        <x:v>1</x:v>
      </x:c>
      <x:c r="G32" s="179" t="n">
        <x:v>0</x:v>
      </x:c>
      <x:c r="H32" s="179" t="n">
        <x:v>0.3</x:v>
      </x:c>
      <x:c r="I32" s="179" t="n">
        <x:v>0</x:v>
      </x:c>
      <x:c r="J32" s="179" t="n">
        <x:v>1</x:v>
      </x:c>
      <x:c r="K32" s="179" t="n">
        <x:v>0</x:v>
      </x:c>
      <x:c r="L32" s="179" t="n">
        <x:v>0</x:v>
      </x:c>
      <x:c r="M32" s="180" t="str">
        <x:f>IF(OR(AND(E32&lt;&gt;0,$C$9=""),AND(F32&lt;&gt;0,$D$9=""),AND(H32&lt;&gt;0,$F$9=""),AND(J32&lt;&gt;0,$H$9="")),"",SUMPRODUCT(E32:L32,$C$9:$J$9))</x:f>
      </x:c>
      <x:c r="N32" s="180" t="str">
        <x:f>IF(M32="","",(1.2)*$C$9+(1.0)*$D$9+(0.3)*$F$9+(1.0)*$H$9)</x:f>
      </x:c>
      <x:c r="O32" s="180" t="str">
        <x:f>IF(OR(M32="",N32=""),"",ABS(M32-N32))</x:f>
      </x:c>
      <x:c r="P32" s="142" t="str">
        <x:f>IF(M32="","PENDING",IF(O32&lt;=0.0001,"PASS","REVIEW"))</x:f>
        <x:v>PENDING</x:v>
      </x:c>
      <x:c r="Q32" s="142" t="str">
        <x:v>ASCE 7-22 §2.3.1 Eq. 4a</x:v>
      </x:c>
    </x:row>
    <x:row r="33">
      <x:c r="B33" s="142" t="str">
        <x:v>SD-4-S-W-</x:v>
      </x:c>
      <x:c r="C33" s="142" t="str">
        <x:v>Strength/LRFD</x:v>
      </x:c>
      <x:c r="D33" s="142" t="str">
        <x:v>-Wind principal + snow companion</x:v>
      </x:c>
      <x:c r="E33" s="179" t="n">
        <x:v>1.2</x:v>
      </x:c>
      <x:c r="F33" s="179" t="n">
        <x:v>1</x:v>
      </x:c>
      <x:c r="G33" s="179" t="n">
        <x:v>0</x:v>
      </x:c>
      <x:c r="H33" s="179" t="n">
        <x:v>0.3</x:v>
      </x:c>
      <x:c r="I33" s="179" t="n">
        <x:v>0</x:v>
      </x:c>
      <x:c r="J33" s="179" t="n">
        <x:v>-1</x:v>
      </x:c>
      <x:c r="K33" s="179" t="n">
        <x:v>0</x:v>
      </x:c>
      <x:c r="L33" s="179" t="n">
        <x:v>0</x:v>
      </x:c>
      <x:c r="M33" s="180" t="str">
        <x:f>IF(OR(AND(E33&lt;&gt;0,$C$9=""),AND(F33&lt;&gt;0,$D$9=""),AND(H33&lt;&gt;0,$F$9=""),AND(J33&lt;&gt;0,$H$9="")),"",SUMPRODUCT(E33:L33,$C$9:$J$9))</x:f>
      </x:c>
      <x:c r="N33" s="180" t="str">
        <x:f>IF(M33="","",(1.2)*$C$9+(1.0)*$D$9+(0.3)*$F$9+(-1.0)*$H$9)</x:f>
      </x:c>
      <x:c r="O33" s="180" t="str">
        <x:f>IF(OR(M33="",N33=""),"",ABS(M33-N33))</x:f>
      </x:c>
      <x:c r="P33" s="142" t="str">
        <x:f>IF(M33="","PENDING",IF(O33&lt;=0.0001,"PASS","REVIEW"))</x:f>
        <x:v>PENDING</x:v>
      </x:c>
      <x:c r="Q33" s="142" t="str">
        <x:v>ASCE 7-22 §2.3.1 Eq. 4a</x:v>
      </x:c>
    </x:row>
    <x:row r="34">
      <x:c r="B34" s="142" t="str">
        <x:v>SD-4-R-W+</x:v>
      </x:c>
      <x:c r="C34" s="142" t="str">
        <x:v>Strength/LRFD</x:v>
      </x:c>
      <x:c r="D34" s="142" t="str">
        <x:v>+Wind principal + rain companion</x:v>
      </x:c>
      <x:c r="E34" s="179" t="n">
        <x:v>1.2</x:v>
      </x:c>
      <x:c r="F34" s="179" t="n">
        <x:v>1</x:v>
      </x:c>
      <x:c r="G34" s="179" t="n">
        <x:v>0</x:v>
      </x:c>
      <x:c r="H34" s="179" t="n">
        <x:v>0</x:v>
      </x:c>
      <x:c r="I34" s="179" t="n">
        <x:v>0.5</x:v>
      </x:c>
      <x:c r="J34" s="179" t="n">
        <x:v>1</x:v>
      </x:c>
      <x:c r="K34" s="179" t="n">
        <x:v>0</x:v>
      </x:c>
      <x:c r="L34" s="179" t="n">
        <x:v>0</x:v>
      </x:c>
      <x:c r="M34" s="180" t="str">
        <x:f>IF(OR(AND(E34&lt;&gt;0,$C$9=""),AND(F34&lt;&gt;0,$D$9=""),AND(I34&lt;&gt;0,$G$9=""),AND(J34&lt;&gt;0,$H$9="")),"",SUMPRODUCT(E34:L34,$C$9:$J$9))</x:f>
      </x:c>
      <x:c r="N34" s="180" t="str">
        <x:f>IF(M34="","",(1.2)*$C$9+(1.0)*$D$9+(0.5)*$G$9+(1.0)*$H$9)</x:f>
      </x:c>
      <x:c r="O34" s="180" t="str">
        <x:f>IF(OR(M34="",N34=""),"",ABS(M34-N34))</x:f>
      </x:c>
      <x:c r="P34" s="142" t="str">
        <x:f>IF(M34="","PENDING",IF(O34&lt;=0.0001,"PASS","REVIEW"))</x:f>
        <x:v>PENDING</x:v>
      </x:c>
      <x:c r="Q34" s="142" t="str">
        <x:v>ASCE 7-22 §2.3.1 Eq. 4a</x:v>
      </x:c>
    </x:row>
    <x:row r="35">
      <x:c r="B35" s="142" t="str">
        <x:v>SD-4-R-W-</x:v>
      </x:c>
      <x:c r="C35" s="142" t="str">
        <x:v>Strength/LRFD</x:v>
      </x:c>
      <x:c r="D35" s="142" t="str">
        <x:v>-Wind principal + rain companion</x:v>
      </x:c>
      <x:c r="E35" s="179" t="n">
        <x:v>1.2</x:v>
      </x:c>
      <x:c r="F35" s="179" t="n">
        <x:v>1</x:v>
      </x:c>
      <x:c r="G35" s="179" t="n">
        <x:v>0</x:v>
      </x:c>
      <x:c r="H35" s="179" t="n">
        <x:v>0</x:v>
      </x:c>
      <x:c r="I35" s="179" t="n">
        <x:v>0.5</x:v>
      </x:c>
      <x:c r="J35" s="179" t="n">
        <x:v>-1</x:v>
      </x:c>
      <x:c r="K35" s="179" t="n">
        <x:v>0</x:v>
      </x:c>
      <x:c r="L35" s="179" t="n">
        <x:v>0</x:v>
      </x:c>
      <x:c r="M35" s="180" t="str">
        <x:f>IF(OR(AND(E35&lt;&gt;0,$C$9=""),AND(F35&lt;&gt;0,$D$9=""),AND(I35&lt;&gt;0,$G$9=""),AND(J35&lt;&gt;0,$H$9="")),"",SUMPRODUCT(E35:L35,$C$9:$J$9))</x:f>
      </x:c>
      <x:c r="N35" s="180" t="str">
        <x:f>IF(M35="","",(1.2)*$C$9+(1.0)*$D$9+(0.5)*$G$9+(-1.0)*$H$9)</x:f>
      </x:c>
      <x:c r="O35" s="180" t="str">
        <x:f>IF(OR(M35="",N35=""),"",ABS(M35-N35))</x:f>
      </x:c>
      <x:c r="P35" s="142" t="str">
        <x:f>IF(M35="","PENDING",IF(O35&lt;=0.0001,"PASS","REVIEW"))</x:f>
        <x:v>PENDING</x:v>
      </x:c>
      <x:c r="Q35" s="142" t="str">
        <x:v>ASCE 7-22 §2.3.1 Eq. 4a</x:v>
      </x:c>
    </x:row>
    <x:row r="36">
      <x:c r="B36" s="142" t="str">
        <x:v>SD-5-W+</x:v>
      </x:c>
      <x:c r="C36" s="142" t="str">
        <x:v>Strength/LRFD</x:v>
      </x:c>
      <x:c r="D36" s="142" t="str">
        <x:v>+Wind stability/uplift</x:v>
      </x:c>
      <x:c r="E36" s="179" t="n">
        <x:v>0.9</x:v>
      </x:c>
      <x:c r="F36" s="179" t="n">
        <x:v>0</x:v>
      </x:c>
      <x:c r="G36" s="179" t="n">
        <x:v>0</x:v>
      </x:c>
      <x:c r="H36" s="179" t="n">
        <x:v>0</x:v>
      </x:c>
      <x:c r="I36" s="179" t="n">
        <x:v>0</x:v>
      </x:c>
      <x:c r="J36" s="179" t="n">
        <x:v>1</x:v>
      </x:c>
      <x:c r="K36" s="179" t="n">
        <x:v>0</x:v>
      </x:c>
      <x:c r="L36" s="179" t="n">
        <x:v>0</x:v>
      </x:c>
      <x:c r="M36" s="180" t="str">
        <x:f>IF(OR(AND(E36&lt;&gt;0,$C$9=""),AND(J36&lt;&gt;0,$H$9="")),"",SUMPRODUCT(E36:L36,$C$9:$J$9))</x:f>
      </x:c>
      <x:c r="N36" s="180" t="str">
        <x:f>IF(M36="","",(0.9)*$C$9+(1.0)*$H$9)</x:f>
      </x:c>
      <x:c r="O36" s="180" t="str">
        <x:f>IF(OR(M36="",N36=""),"",ABS(M36-N36))</x:f>
      </x:c>
      <x:c r="P36" s="142" t="str">
        <x:f>IF(M36="","PENDING",IF(O36&lt;=0.0001,"PASS","REVIEW"))</x:f>
        <x:v>PENDING</x:v>
      </x:c>
      <x:c r="Q36" s="142" t="str">
        <x:v>ASCE 7-22 §2.3.1 Eq. 5a</x:v>
      </x:c>
    </x:row>
    <x:row r="37">
      <x:c r="B37" s="142" t="str">
        <x:v>SD-5-W-</x:v>
      </x:c>
      <x:c r="C37" s="142" t="str">
        <x:v>Strength/LRFD</x:v>
      </x:c>
      <x:c r="D37" s="142" t="str">
        <x:v>-Wind stability/uplift</x:v>
      </x:c>
      <x:c r="E37" s="179" t="n">
        <x:v>0.9</x:v>
      </x:c>
      <x:c r="F37" s="179" t="n">
        <x:v>0</x:v>
      </x:c>
      <x:c r="G37" s="179" t="n">
        <x:v>0</x:v>
      </x:c>
      <x:c r="H37" s="179" t="n">
        <x:v>0</x:v>
      </x:c>
      <x:c r="I37" s="179" t="n">
        <x:v>0</x:v>
      </x:c>
      <x:c r="J37" s="179" t="n">
        <x:v>-1</x:v>
      </x:c>
      <x:c r="K37" s="179" t="n">
        <x:v>0</x:v>
      </x:c>
      <x:c r="L37" s="179" t="n">
        <x:v>0</x:v>
      </x:c>
      <x:c r="M37" s="180" t="str">
        <x:f>IF(OR(AND(E37&lt;&gt;0,$C$9=""),AND(J37&lt;&gt;0,$H$9="")),"",SUMPRODUCT(E37:L37,$C$9:$J$9))</x:f>
      </x:c>
      <x:c r="N37" s="180" t="str">
        <x:f>IF(M37="","",(0.9)*$C$9+(-1.0)*$H$9)</x:f>
      </x:c>
      <x:c r="O37" s="180" t="str">
        <x:f>IF(OR(M37="",N37=""),"",ABS(M37-N37))</x:f>
      </x:c>
      <x:c r="P37" s="142" t="str">
        <x:f>IF(M37="","PENDING",IF(O37&lt;=0.0001,"PASS","REVIEW"))</x:f>
        <x:v>PENDING</x:v>
      </x:c>
      <x:c r="Q37" s="142" t="str">
        <x:v>ASCE 7-22 §2.3.1 Eq. 5a</x:v>
      </x:c>
    </x:row>
    <x:row r="38">
      <x:c r="B38" s="142" t="str">
        <x:v>SD-6-E+</x:v>
      </x:c>
      <x:c r="C38" s="142" t="str">
        <x:v>Strength/LRFD</x:v>
      </x:c>
      <x:c r="D38" s="142" t="str">
        <x:v>+Seismic horizontal</x:v>
      </x:c>
      <x:c r="E38" s="179" t="n">
        <x:v>1.2</x:v>
      </x:c>
      <x:c r="F38" s="179" t="n">
        <x:v>1</x:v>
      </x:c>
      <x:c r="G38" s="179" t="n">
        <x:v>0</x:v>
      </x:c>
      <x:c r="H38" s="179" t="n">
        <x:v>0.15</x:v>
      </x:c>
      <x:c r="I38" s="179" t="n">
        <x:v>0</x:v>
      </x:c>
      <x:c r="J38" s="179" t="n">
        <x:v>0</x:v>
      </x:c>
      <x:c r="K38" s="179" t="n">
        <x:v>1</x:v>
      </x:c>
      <x:c r="L38" s="179" t="n">
        <x:v>1</x:v>
      </x:c>
      <x:c r="M38" s="180" t="str">
        <x:f>IF(OR(AND(E38&lt;&gt;0,$C$9=""),AND(F38&lt;&gt;0,$D$9=""),AND(H38&lt;&gt;0,$F$9=""),AND(K38&lt;&gt;0,$I$9=""),AND(L38&lt;&gt;0,$J$9="")),"",SUMPRODUCT(E38:L38,$C$9:$J$9))</x:f>
      </x:c>
      <x:c r="N38" s="180" t="str">
        <x:f>IF(M38="","",(1.2)*$C$9+(1.0)*$D$9+(0.15)*$F$9+(1.0)*$I$9+(1.0)*$J$9)</x:f>
      </x:c>
      <x:c r="O38" s="180" t="str">
        <x:f>IF(OR(M38="",N38=""),"",ABS(M38-N38))</x:f>
      </x:c>
      <x:c r="P38" s="142" t="str">
        <x:f>IF(M38="","PENDING",IF(O38&lt;=0.0001,"PASS","REVIEW"))</x:f>
        <x:v>PENDING</x:v>
      </x:c>
      <x:c r="Q38" s="142" t="str">
        <x:v>ASCE 7-22 §2.3.6 Eq. 6</x:v>
      </x:c>
    </x:row>
    <x:row r="39">
      <x:c r="B39" s="142" t="str">
        <x:v>SD-6-E-</x:v>
      </x:c>
      <x:c r="C39" s="142" t="str">
        <x:v>Strength/LRFD</x:v>
      </x:c>
      <x:c r="D39" s="142" t="str">
        <x:v>-Seismic horizontal</x:v>
      </x:c>
      <x:c r="E39" s="179" t="n">
        <x:v>1.2</x:v>
      </x:c>
      <x:c r="F39" s="179" t="n">
        <x:v>1</x:v>
      </x:c>
      <x:c r="G39" s="179" t="n">
        <x:v>0</x:v>
      </x:c>
      <x:c r="H39" s="179" t="n">
        <x:v>0.15</x:v>
      </x:c>
      <x:c r="I39" s="179" t="n">
        <x:v>0</x:v>
      </x:c>
      <x:c r="J39" s="179" t="n">
        <x:v>0</x:v>
      </x:c>
      <x:c r="K39" s="179" t="n">
        <x:v>1</x:v>
      </x:c>
      <x:c r="L39" s="179" t="n">
        <x:v>-1</x:v>
      </x:c>
      <x:c r="M39" s="180" t="str">
        <x:f>IF(OR(AND(E39&lt;&gt;0,$C$9=""),AND(F39&lt;&gt;0,$D$9=""),AND(H39&lt;&gt;0,$F$9=""),AND(K39&lt;&gt;0,$I$9=""),AND(L39&lt;&gt;0,$J$9="")),"",SUMPRODUCT(E39:L39,$C$9:$J$9))</x:f>
      </x:c>
      <x:c r="N39" s="180" t="str">
        <x:f>IF(M39="","",(1.2)*$C$9+(1.0)*$D$9+(0.15)*$F$9+(1.0)*$I$9+(-1.0)*$J$9)</x:f>
      </x:c>
      <x:c r="O39" s="180" t="str">
        <x:f>IF(OR(M39="",N39=""),"",ABS(M39-N39))</x:f>
      </x:c>
      <x:c r="P39" s="142" t="str">
        <x:f>IF(M39="","PENDING",IF(O39&lt;=0.0001,"PASS","REVIEW"))</x:f>
        <x:v>PENDING</x:v>
      </x:c>
      <x:c r="Q39" s="142" t="str">
        <x:v>ASCE 7-22 §2.3.6 Eq. 6</x:v>
      </x:c>
    </x:row>
    <x:row r="40">
      <x:c r="B40" s="142" t="str">
        <x:v>SD-7-E+</x:v>
      </x:c>
      <x:c r="C40" s="142" t="str">
        <x:v>Strength/LRFD</x:v>
      </x:c>
      <x:c r="D40" s="142" t="str">
        <x:v>+Seismic stability/uplift</x:v>
      </x:c>
      <x:c r="E40" s="179" t="n">
        <x:v>0.9</x:v>
      </x:c>
      <x:c r="F40" s="179" t="n">
        <x:v>0</x:v>
      </x:c>
      <x:c r="G40" s="179" t="n">
        <x:v>0</x:v>
      </x:c>
      <x:c r="H40" s="179" t="n">
        <x:v>0</x:v>
      </x:c>
      <x:c r="I40" s="179" t="n">
        <x:v>0</x:v>
      </x:c>
      <x:c r="J40" s="179" t="n">
        <x:v>0</x:v>
      </x:c>
      <x:c r="K40" s="179" t="n">
        <x:v>-1</x:v>
      </x:c>
      <x:c r="L40" s="179" t="n">
        <x:v>1</x:v>
      </x:c>
      <x:c r="M40" s="180" t="str">
        <x:f>IF(OR(AND(E40&lt;&gt;0,$C$9=""),AND(K40&lt;&gt;0,$I$9=""),AND(L40&lt;&gt;0,$J$9="")),"",SUMPRODUCT(E40:L40,$C$9:$J$9))</x:f>
      </x:c>
      <x:c r="N40" s="180" t="str">
        <x:f>IF(M40="","",(0.9)*$C$9+(-1.0)*$I$9+(1.0)*$J$9)</x:f>
      </x:c>
      <x:c r="O40" s="180" t="str">
        <x:f>IF(OR(M40="",N40=""),"",ABS(M40-N40))</x:f>
      </x:c>
      <x:c r="P40" s="142" t="str">
        <x:f>IF(M40="","PENDING",IF(O40&lt;=0.0001,"PASS","REVIEW"))</x:f>
        <x:v>PENDING</x:v>
      </x:c>
      <x:c r="Q40" s="142" t="str">
        <x:v>ASCE 7-22 §2.3.6 Eq. 7</x:v>
      </x:c>
    </x:row>
    <x:row r="41">
      <x:c r="B41" s="142" t="str">
        <x:v>SD-7-E-</x:v>
      </x:c>
      <x:c r="C41" s="142" t="str">
        <x:v>Strength/LRFD</x:v>
      </x:c>
      <x:c r="D41" s="142" t="str">
        <x:v>-Seismic stability/uplift</x:v>
      </x:c>
      <x:c r="E41" s="179" t="n">
        <x:v>0.9</x:v>
      </x:c>
      <x:c r="F41" s="179" t="n">
        <x:v>0</x:v>
      </x:c>
      <x:c r="G41" s="179" t="n">
        <x:v>0</x:v>
      </x:c>
      <x:c r="H41" s="179" t="n">
        <x:v>0</x:v>
      </x:c>
      <x:c r="I41" s="179" t="n">
        <x:v>0</x:v>
      </x:c>
      <x:c r="J41" s="179" t="n">
        <x:v>0</x:v>
      </x:c>
      <x:c r="K41" s="179" t="n">
        <x:v>-1</x:v>
      </x:c>
      <x:c r="L41" s="179" t="n">
        <x:v>-1</x:v>
      </x:c>
      <x:c r="M41" s="180" t="str">
        <x:f>IF(OR(AND(E41&lt;&gt;0,$C$9=""),AND(K41&lt;&gt;0,$I$9=""),AND(L41&lt;&gt;0,$J$9="")),"",SUMPRODUCT(E41:L41,$C$9:$J$9))</x:f>
      </x:c>
      <x:c r="N41" s="180" t="str">
        <x:f>IF(M41="","",(0.9)*$C$9+(-1.0)*$I$9+(-1.0)*$J$9)</x:f>
      </x:c>
      <x:c r="O41" s="180" t="str">
        <x:f>IF(OR(M41="",N41=""),"",ABS(M41-N41))</x:f>
      </x:c>
      <x:c r="P41" s="142" t="str">
        <x:f>IF(M41="","PENDING",IF(O41&lt;=0.0001,"PASS","REVIEW"))</x:f>
        <x:v>PENDING</x:v>
      </x:c>
      <x:c r="Q41" s="142" t="str">
        <x:v>ASCE 7-22 §2.3.6 Eq. 7</x:v>
      </x:c>
    </x:row>
    <x:row r="42">
      <x:c r="B42" s="142" t="str">
        <x:v>ASD-1</x:v>
      </x:c>
      <x:c r="C42" s="142" t="str">
        <x:v>ASD</x:v>
      </x:c>
      <x:c r="D42" s="142" t="str">
        <x:v>Dead load</x:v>
      </x:c>
      <x:c r="E42" s="179" t="n">
        <x:v>1</x:v>
      </x:c>
      <x:c r="F42" s="179" t="n">
        <x:v>0</x:v>
      </x:c>
      <x:c r="G42" s="179" t="n">
        <x:v>0</x:v>
      </x:c>
      <x:c r="H42" s="179" t="n">
        <x:v>0</x:v>
      </x:c>
      <x:c r="I42" s="179" t="n">
        <x:v>0</x:v>
      </x:c>
      <x:c r="J42" s="179" t="n">
        <x:v>0</x:v>
      </x:c>
      <x:c r="K42" s="179" t="n">
        <x:v>0</x:v>
      </x:c>
      <x:c r="L42" s="179" t="n">
        <x:v>0</x:v>
      </x:c>
      <x:c r="M42" s="180" t="str">
        <x:f>IF(OR(AND(E42&lt;&gt;0,$C$9="")),"",SUMPRODUCT(E42:L42,$C$9:$J$9))</x:f>
      </x:c>
      <x:c r="N42" s="180" t="str">
        <x:f>IF(M42="","",(1.0)*$C$9)</x:f>
      </x:c>
      <x:c r="O42" s="180" t="str">
        <x:f>IF(OR(M42="",N42=""),"",ABS(M42-N42))</x:f>
      </x:c>
      <x:c r="P42" s="142" t="str">
        <x:f>IF(M42="","PENDING",IF(O42&lt;=0.0001,"PASS","REVIEW"))</x:f>
        <x:v>PENDING</x:v>
      </x:c>
      <x:c r="Q42" s="142" t="str">
        <x:v>ASCE 7-22 §2.4.1 Eq. 1a</x:v>
      </x:c>
    </x:row>
    <x:row r="43">
      <x:c r="B43" s="142" t="str">
        <x:v>ASD-2</x:v>
      </x:c>
      <x:c r="C43" s="142" t="str">
        <x:v>ASD</x:v>
      </x:c>
      <x:c r="D43" s="142" t="str">
        <x:v>Dead + floor live</x:v>
      </x:c>
      <x:c r="E43" s="179" t="n">
        <x:v>1</x:v>
      </x:c>
      <x:c r="F43" s="179" t="n">
        <x:v>1</x:v>
      </x:c>
      <x:c r="G43" s="179" t="n">
        <x:v>0</x:v>
      </x:c>
      <x:c r="H43" s="179" t="n">
        <x:v>0</x:v>
      </x:c>
      <x:c r="I43" s="179" t="n">
        <x:v>0</x:v>
      </x:c>
      <x:c r="J43" s="179" t="n">
        <x:v>0</x:v>
      </x:c>
      <x:c r="K43" s="179" t="n">
        <x:v>0</x:v>
      </x:c>
      <x:c r="L43" s="179" t="n">
        <x:v>0</x:v>
      </x:c>
      <x:c r="M43" s="180" t="str">
        <x:f>IF(OR(AND(E43&lt;&gt;0,$C$9=""),AND(F43&lt;&gt;0,$D$9="")),"",SUMPRODUCT(E43:L43,$C$9:$J$9))</x:f>
      </x:c>
      <x:c r="N43" s="180" t="str">
        <x:f>IF(M43="","",(1.0)*$C$9+(1.0)*$D$9)</x:f>
      </x:c>
      <x:c r="O43" s="180" t="str">
        <x:f>IF(OR(M43="",N43=""),"",ABS(M43-N43))</x:f>
      </x:c>
      <x:c r="P43" s="142" t="str">
        <x:f>IF(M43="","PENDING",IF(O43&lt;=0.0001,"PASS","REVIEW"))</x:f>
        <x:v>PENDING</x:v>
      </x:c>
      <x:c r="Q43" s="142" t="str">
        <x:v>ASCE 7-22 §2.4.1 Eq. 2a</x:v>
      </x:c>
    </x:row>
    <x:row r="44">
      <x:c r="B44" s="142" t="str">
        <x:v>ASD-3-Lr</x:v>
      </x:c>
      <x:c r="C44" s="142" t="str">
        <x:v>ASD</x:v>
      </x:c>
      <x:c r="D44" s="142" t="str">
        <x:v>Roof live principal</x:v>
      </x:c>
      <x:c r="E44" s="179" t="n">
        <x:v>1</x:v>
      </x:c>
      <x:c r="F44" s="179" t="n">
        <x:v>0</x:v>
      </x:c>
      <x:c r="G44" s="179" t="n">
        <x:v>1</x:v>
      </x:c>
      <x:c r="H44" s="179" t="n">
        <x:v>0</x:v>
      </x:c>
      <x:c r="I44" s="179" t="n">
        <x:v>0</x:v>
      </x:c>
      <x:c r="J44" s="179" t="n">
        <x:v>0</x:v>
      </x:c>
      <x:c r="K44" s="179" t="n">
        <x:v>0</x:v>
      </x:c>
      <x:c r="L44" s="179" t="n">
        <x:v>0</x:v>
      </x:c>
      <x:c r="M44" s="180" t="str">
        <x:f>IF(OR(AND(E44&lt;&gt;0,$C$9=""),AND(G44&lt;&gt;0,$E$9="")),"",SUMPRODUCT(E44:L44,$C$9:$J$9))</x:f>
      </x:c>
      <x:c r="N44" s="180" t="str">
        <x:f>IF(M44="","",(1.0)*$C$9+(1.0)*$E$9)</x:f>
      </x:c>
      <x:c r="O44" s="180" t="str">
        <x:f>IF(OR(M44="",N44=""),"",ABS(M44-N44))</x:f>
      </x:c>
      <x:c r="P44" s="142" t="str">
        <x:f>IF(M44="","PENDING",IF(O44&lt;=0.0001,"PASS","REVIEW"))</x:f>
        <x:v>PENDING</x:v>
      </x:c>
      <x:c r="Q44" s="142" t="str">
        <x:v>ASCE 7-22 §2.4.1 Eq. 3a</x:v>
      </x:c>
    </x:row>
    <x:row r="45">
      <x:c r="B45" s="142" t="str">
        <x:v>ASD-3-S</x:v>
      </x:c>
      <x:c r="C45" s="142" t="str">
        <x:v>ASD</x:v>
      </x:c>
      <x:c r="D45" s="142" t="str">
        <x:v>Snow principal</x:v>
      </x:c>
      <x:c r="E45" s="179" t="n">
        <x:v>1</x:v>
      </x:c>
      <x:c r="F45" s="179" t="n">
        <x:v>0</x:v>
      </x:c>
      <x:c r="G45" s="179" t="n">
        <x:v>0</x:v>
      </x:c>
      <x:c r="H45" s="179" t="n">
        <x:v>0.7</x:v>
      </x:c>
      <x:c r="I45" s="179" t="n">
        <x:v>0</x:v>
      </x:c>
      <x:c r="J45" s="179" t="n">
        <x:v>0</x:v>
      </x:c>
      <x:c r="K45" s="179" t="n">
        <x:v>0</x:v>
      </x:c>
      <x:c r="L45" s="179" t="n">
        <x:v>0</x:v>
      </x:c>
      <x:c r="M45" s="180" t="str">
        <x:f>IF(OR(AND(E45&lt;&gt;0,$C$9=""),AND(H45&lt;&gt;0,$F$9="")),"",SUMPRODUCT(E45:L45,$C$9:$J$9))</x:f>
      </x:c>
      <x:c r="N45" s="180" t="str">
        <x:f>IF(M45="","",(1.0)*$C$9+(0.7)*$F$9)</x:f>
      </x:c>
      <x:c r="O45" s="180" t="str">
        <x:f>IF(OR(M45="",N45=""),"",ABS(M45-N45))</x:f>
      </x:c>
      <x:c r="P45" s="142" t="str">
        <x:f>IF(M45="","PENDING",IF(O45&lt;=0.0001,"PASS","REVIEW"))</x:f>
        <x:v>PENDING</x:v>
      </x:c>
      <x:c r="Q45" s="142" t="str">
        <x:v>ASCE 7-22 §2.4.1 Eq. 3a</x:v>
      </x:c>
    </x:row>
    <x:row r="46">
      <x:c r="B46" s="142" t="str">
        <x:v>ASD-3-R</x:v>
      </x:c>
      <x:c r="C46" s="142" t="str">
        <x:v>ASD</x:v>
      </x:c>
      <x:c r="D46" s="142" t="str">
        <x:v>Rain principal</x:v>
      </x:c>
      <x:c r="E46" s="179" t="n">
        <x:v>1</x:v>
      </x:c>
      <x:c r="F46" s="179" t="n">
        <x:v>0</x:v>
      </x:c>
      <x:c r="G46" s="179" t="n">
        <x:v>0</x:v>
      </x:c>
      <x:c r="H46" s="179" t="n">
        <x:v>0</x:v>
      </x:c>
      <x:c r="I46" s="179" t="n">
        <x:v>1</x:v>
      </x:c>
      <x:c r="J46" s="179" t="n">
        <x:v>0</x:v>
      </x:c>
      <x:c r="K46" s="179" t="n">
        <x:v>0</x:v>
      </x:c>
      <x:c r="L46" s="179" t="n">
        <x:v>0</x:v>
      </x:c>
      <x:c r="M46" s="180" t="str">
        <x:f>IF(OR(AND(E46&lt;&gt;0,$C$9=""),AND(I46&lt;&gt;0,$G$9="")),"",SUMPRODUCT(E46:L46,$C$9:$J$9))</x:f>
      </x:c>
      <x:c r="N46" s="180" t="str">
        <x:f>IF(M46="","",(1.0)*$C$9+(1.0)*$G$9)</x:f>
      </x:c>
      <x:c r="O46" s="180" t="str">
        <x:f>IF(OR(M46="",N46=""),"",ABS(M46-N46))</x:f>
      </x:c>
      <x:c r="P46" s="142" t="str">
        <x:f>IF(M46="","PENDING",IF(O46&lt;=0.0001,"PASS","REVIEW"))</x:f>
        <x:v>PENDING</x:v>
      </x:c>
      <x:c r="Q46" s="142" t="str">
        <x:v>ASCE 7-22 §2.4.1 Eq. 3a</x:v>
      </x:c>
    </x:row>
    <x:row r="47">
      <x:c r="B47" s="142" t="str">
        <x:v>ASD-4-Lr</x:v>
      </x:c>
      <x:c r="C47" s="142" t="str">
        <x:v>ASD</x:v>
      </x:c>
      <x:c r="D47" s="142" t="str">
        <x:v>Floor live + roof live</x:v>
      </x:c>
      <x:c r="E47" s="179" t="n">
        <x:v>1</x:v>
      </x:c>
      <x:c r="F47" s="179" t="n">
        <x:v>0.75</x:v>
      </x:c>
      <x:c r="G47" s="179" t="n">
        <x:v>0.75</x:v>
      </x:c>
      <x:c r="H47" s="179" t="n">
        <x:v>0</x:v>
      </x:c>
      <x:c r="I47" s="179" t="n">
        <x:v>0</x:v>
      </x:c>
      <x:c r="J47" s="179" t="n">
        <x:v>0</x:v>
      </x:c>
      <x:c r="K47" s="179" t="n">
        <x:v>0</x:v>
      </x:c>
      <x:c r="L47" s="179" t="n">
        <x:v>0</x:v>
      </x:c>
      <x:c r="M47" s="180" t="str">
        <x:f>IF(OR(AND(E47&lt;&gt;0,$C$9=""),AND(F47&lt;&gt;0,$D$9=""),AND(G47&lt;&gt;0,$E$9="")),"",SUMPRODUCT(E47:L47,$C$9:$J$9))</x:f>
      </x:c>
      <x:c r="N47" s="180" t="str">
        <x:f>IF(M47="","",(1.0)*$C$9+(0.75)*$D$9+(0.75)*$E$9)</x:f>
      </x:c>
      <x:c r="O47" s="180" t="str">
        <x:f>IF(OR(M47="",N47=""),"",ABS(M47-N47))</x:f>
      </x:c>
      <x:c r="P47" s="142" t="str">
        <x:f>IF(M47="","PENDING",IF(O47&lt;=0.0001,"PASS","REVIEW"))</x:f>
        <x:v>PENDING</x:v>
      </x:c>
      <x:c r="Q47" s="142" t="str">
        <x:v>ASCE 7-22 §2.4.1 Eq. 4a</x:v>
      </x:c>
    </x:row>
    <x:row r="48">
      <x:c r="B48" s="142" t="str">
        <x:v>ASD-4-S</x:v>
      </x:c>
      <x:c r="C48" s="142" t="str">
        <x:v>ASD</x:v>
      </x:c>
      <x:c r="D48" s="142" t="str">
        <x:v>Floor live + snow</x:v>
      </x:c>
      <x:c r="E48" s="179" t="n">
        <x:v>1</x:v>
      </x:c>
      <x:c r="F48" s="179" t="n">
        <x:v>0.75</x:v>
      </x:c>
      <x:c r="G48" s="179" t="n">
        <x:v>0</x:v>
      </x:c>
      <x:c r="H48" s="179" t="n">
        <x:v>0.525</x:v>
      </x:c>
      <x:c r="I48" s="179" t="n">
        <x:v>0</x:v>
      </x:c>
      <x:c r="J48" s="179" t="n">
        <x:v>0</x:v>
      </x:c>
      <x:c r="K48" s="179" t="n">
        <x:v>0</x:v>
      </x:c>
      <x:c r="L48" s="179" t="n">
        <x:v>0</x:v>
      </x:c>
      <x:c r="M48" s="180" t="str">
        <x:f>IF(OR(AND(E48&lt;&gt;0,$C$9=""),AND(F48&lt;&gt;0,$D$9=""),AND(H48&lt;&gt;0,$F$9="")),"",SUMPRODUCT(E48:L48,$C$9:$J$9))</x:f>
      </x:c>
      <x:c r="N48" s="180" t="str">
        <x:f>IF(M48="","",(1.0)*$C$9+(0.75)*$D$9+(0.525)*$F$9)</x:f>
      </x:c>
      <x:c r="O48" s="180" t="str">
        <x:f>IF(OR(M48="",N48=""),"",ABS(M48-N48))</x:f>
      </x:c>
      <x:c r="P48" s="142" t="str">
        <x:f>IF(M48="","PENDING",IF(O48&lt;=0.0001,"PASS","REVIEW"))</x:f>
        <x:v>PENDING</x:v>
      </x:c>
      <x:c r="Q48" s="142" t="str">
        <x:v>ASCE 7-22 §2.4.1 Eq. 4a</x:v>
      </x:c>
    </x:row>
    <x:row r="49">
      <x:c r="B49" s="142" t="str">
        <x:v>ASD-4-R</x:v>
      </x:c>
      <x:c r="C49" s="142" t="str">
        <x:v>ASD</x:v>
      </x:c>
      <x:c r="D49" s="142" t="str">
        <x:v>Floor live + rain</x:v>
      </x:c>
      <x:c r="E49" s="179" t="n">
        <x:v>1</x:v>
      </x:c>
      <x:c r="F49" s="179" t="n">
        <x:v>0.75</x:v>
      </x:c>
      <x:c r="G49" s="179" t="n">
        <x:v>0</x:v>
      </x:c>
      <x:c r="H49" s="179" t="n">
        <x:v>0</x:v>
      </x:c>
      <x:c r="I49" s="179" t="n">
        <x:v>0.75</x:v>
      </x:c>
      <x:c r="J49" s="179" t="n">
        <x:v>0</x:v>
      </x:c>
      <x:c r="K49" s="179" t="n">
        <x:v>0</x:v>
      </x:c>
      <x:c r="L49" s="179" t="n">
        <x:v>0</x:v>
      </x:c>
      <x:c r="M49" s="180" t="str">
        <x:f>IF(OR(AND(E49&lt;&gt;0,$C$9=""),AND(F49&lt;&gt;0,$D$9=""),AND(I49&lt;&gt;0,$G$9="")),"",SUMPRODUCT(E49:L49,$C$9:$J$9))</x:f>
      </x:c>
      <x:c r="N49" s="180" t="str">
        <x:f>IF(M49="","",(1.0)*$C$9+(0.75)*$D$9+(0.75)*$G$9)</x:f>
      </x:c>
      <x:c r="O49" s="180" t="str">
        <x:f>IF(OR(M49="",N49=""),"",ABS(M49-N49))</x:f>
      </x:c>
      <x:c r="P49" s="142" t="str">
        <x:f>IF(M49="","PENDING",IF(O49&lt;=0.0001,"PASS","REVIEW"))</x:f>
        <x:v>PENDING</x:v>
      </x:c>
      <x:c r="Q49" s="142" t="str">
        <x:v>ASCE 7-22 §2.4.1 Eq. 4a</x:v>
      </x:c>
    </x:row>
    <x:row r="50">
      <x:c r="B50" s="142" t="str">
        <x:v>ASD-5-W+</x:v>
      </x:c>
      <x:c r="C50" s="142" t="str">
        <x:v>ASD</x:v>
      </x:c>
      <x:c r="D50" s="142" t="str">
        <x:v>+Wind</x:v>
      </x:c>
      <x:c r="E50" s="179" t="n">
        <x:v>1</x:v>
      </x:c>
      <x:c r="F50" s="179" t="n">
        <x:v>0</x:v>
      </x:c>
      <x:c r="G50" s="179" t="n">
        <x:v>0</x:v>
      </x:c>
      <x:c r="H50" s="179" t="n">
        <x:v>0</x:v>
      </x:c>
      <x:c r="I50" s="179" t="n">
        <x:v>0</x:v>
      </x:c>
      <x:c r="J50" s="179" t="n">
        <x:v>0.6</x:v>
      </x:c>
      <x:c r="K50" s="179" t="n">
        <x:v>0</x:v>
      </x:c>
      <x:c r="L50" s="179" t="n">
        <x:v>0</x:v>
      </x:c>
      <x:c r="M50" s="180" t="str">
        <x:f>IF(OR(AND(E50&lt;&gt;0,$C$9=""),AND(J50&lt;&gt;0,$H$9="")),"",SUMPRODUCT(E50:L50,$C$9:$J$9))</x:f>
      </x:c>
      <x:c r="N50" s="180" t="str">
        <x:f>IF(M50="","",(1.0)*$C$9+(0.6)*$H$9)</x:f>
      </x:c>
      <x:c r="O50" s="180" t="str">
        <x:f>IF(OR(M50="",N50=""),"",ABS(M50-N50))</x:f>
      </x:c>
      <x:c r="P50" s="142" t="str">
        <x:f>IF(M50="","PENDING",IF(O50&lt;=0.0001,"PASS","REVIEW"))</x:f>
        <x:v>PENDING</x:v>
      </x:c>
      <x:c r="Q50" s="142" t="str">
        <x:v>ASCE 7-22 §2.4.1 Eq. 5a</x:v>
      </x:c>
    </x:row>
    <x:row r="51">
      <x:c r="B51" s="142" t="str">
        <x:v>ASD-5-W-</x:v>
      </x:c>
      <x:c r="C51" s="142" t="str">
        <x:v>ASD</x:v>
      </x:c>
      <x:c r="D51" s="142" t="str">
        <x:v>-Wind</x:v>
      </x:c>
      <x:c r="E51" s="179" t="n">
        <x:v>1</x:v>
      </x:c>
      <x:c r="F51" s="179" t="n">
        <x:v>0</x:v>
      </x:c>
      <x:c r="G51" s="179" t="n">
        <x:v>0</x:v>
      </x:c>
      <x:c r="H51" s="179" t="n">
        <x:v>0</x:v>
      </x:c>
      <x:c r="I51" s="179" t="n">
        <x:v>0</x:v>
      </x:c>
      <x:c r="J51" s="179" t="n">
        <x:v>-0.6</x:v>
      </x:c>
      <x:c r="K51" s="179" t="n">
        <x:v>0</x:v>
      </x:c>
      <x:c r="L51" s="179" t="n">
        <x:v>0</x:v>
      </x:c>
      <x:c r="M51" s="180" t="str">
        <x:f>IF(OR(AND(E51&lt;&gt;0,$C$9=""),AND(J51&lt;&gt;0,$H$9="")),"",SUMPRODUCT(E51:L51,$C$9:$J$9))</x:f>
      </x:c>
      <x:c r="N51" s="180" t="str">
        <x:f>IF(M51="","",(1.0)*$C$9+(-0.6)*$H$9)</x:f>
      </x:c>
      <x:c r="O51" s="180" t="str">
        <x:f>IF(OR(M51="",N51=""),"",ABS(M51-N51))</x:f>
      </x:c>
      <x:c r="P51" s="142" t="str">
        <x:f>IF(M51="","PENDING",IF(O51&lt;=0.0001,"PASS","REVIEW"))</x:f>
        <x:v>PENDING</x:v>
      </x:c>
      <x:c r="Q51" s="142" t="str">
        <x:v>ASCE 7-22 §2.4.1 Eq. 5a</x:v>
      </x:c>
    </x:row>
    <x:row r="52">
      <x:c r="B52" s="142" t="str">
        <x:v>ASD-6-Lr-W+</x:v>
      </x:c>
      <x:c r="C52" s="142" t="str">
        <x:v>ASD</x:v>
      </x:c>
      <x:c r="D52" s="142" t="str">
        <x:v>+Wind + floor live + roof live</x:v>
      </x:c>
      <x:c r="E52" s="179" t="n">
        <x:v>1</x:v>
      </x:c>
      <x:c r="F52" s="179" t="n">
        <x:v>0.75</x:v>
      </x:c>
      <x:c r="G52" s="179" t="n">
        <x:v>0.75</x:v>
      </x:c>
      <x:c r="H52" s="179" t="n">
        <x:v>0</x:v>
      </x:c>
      <x:c r="I52" s="179" t="n">
        <x:v>0</x:v>
      </x:c>
      <x:c r="J52" s="179" t="n">
        <x:v>0.45</x:v>
      </x:c>
      <x:c r="K52" s="179" t="n">
        <x:v>0</x:v>
      </x:c>
      <x:c r="L52" s="179" t="n">
        <x:v>0</x:v>
      </x:c>
      <x:c r="M52" s="180" t="str">
        <x:f>IF(OR(AND(E52&lt;&gt;0,$C$9=""),AND(F52&lt;&gt;0,$D$9=""),AND(G52&lt;&gt;0,$E$9=""),AND(J52&lt;&gt;0,$H$9="")),"",SUMPRODUCT(E52:L52,$C$9:$J$9))</x:f>
      </x:c>
      <x:c r="N52" s="180" t="str">
        <x:f>IF(M52="","",(1.0)*$C$9+(0.75)*$D$9+(0.75)*$E$9+(0.45)*$H$9)</x:f>
      </x:c>
      <x:c r="O52" s="180" t="str">
        <x:f>IF(OR(M52="",N52=""),"",ABS(M52-N52))</x:f>
      </x:c>
      <x:c r="P52" s="142" t="str">
        <x:f>IF(M52="","PENDING",IF(O52&lt;=0.0001,"PASS","REVIEW"))</x:f>
        <x:v>PENDING</x:v>
      </x:c>
      <x:c r="Q52" s="142" t="str">
        <x:v>ASCE 7-22 §2.4.1 Eq. 6a</x:v>
      </x:c>
    </x:row>
    <x:row r="53">
      <x:c r="B53" s="142" t="str">
        <x:v>ASD-6-Lr-W-</x:v>
      </x:c>
      <x:c r="C53" s="142" t="str">
        <x:v>ASD</x:v>
      </x:c>
      <x:c r="D53" s="142" t="str">
        <x:v>-Wind + floor live + roof live</x:v>
      </x:c>
      <x:c r="E53" s="179" t="n">
        <x:v>1</x:v>
      </x:c>
      <x:c r="F53" s="179" t="n">
        <x:v>0.75</x:v>
      </x:c>
      <x:c r="G53" s="179" t="n">
        <x:v>0.75</x:v>
      </x:c>
      <x:c r="H53" s="179" t="n">
        <x:v>0</x:v>
      </x:c>
      <x:c r="I53" s="179" t="n">
        <x:v>0</x:v>
      </x:c>
      <x:c r="J53" s="179" t="n">
        <x:v>-0.45</x:v>
      </x:c>
      <x:c r="K53" s="179" t="n">
        <x:v>0</x:v>
      </x:c>
      <x:c r="L53" s="179" t="n">
        <x:v>0</x:v>
      </x:c>
      <x:c r="M53" s="180" t="str">
        <x:f>IF(OR(AND(E53&lt;&gt;0,$C$9=""),AND(F53&lt;&gt;0,$D$9=""),AND(G53&lt;&gt;0,$E$9=""),AND(J53&lt;&gt;0,$H$9="")),"",SUMPRODUCT(E53:L53,$C$9:$J$9))</x:f>
      </x:c>
      <x:c r="N53" s="180" t="str">
        <x:f>IF(M53="","",(1.0)*$C$9+(0.75)*$D$9+(0.75)*$E$9+(-0.45)*$H$9)</x:f>
      </x:c>
      <x:c r="O53" s="180" t="str">
        <x:f>IF(OR(M53="",N53=""),"",ABS(M53-N53))</x:f>
      </x:c>
      <x:c r="P53" s="142" t="str">
        <x:f>IF(M53="","PENDING",IF(O53&lt;=0.0001,"PASS","REVIEW"))</x:f>
        <x:v>PENDING</x:v>
      </x:c>
      <x:c r="Q53" s="142" t="str">
        <x:v>ASCE 7-22 §2.4.1 Eq. 6a</x:v>
      </x:c>
    </x:row>
    <x:row r="54">
      <x:c r="B54" s="142" t="str">
        <x:v>ASD-6-S-W+</x:v>
      </x:c>
      <x:c r="C54" s="142" t="str">
        <x:v>ASD</x:v>
      </x:c>
      <x:c r="D54" s="142" t="str">
        <x:v>+Wind + floor live + snow</x:v>
      </x:c>
      <x:c r="E54" s="179" t="n">
        <x:v>1</x:v>
      </x:c>
      <x:c r="F54" s="179" t="n">
        <x:v>0.75</x:v>
      </x:c>
      <x:c r="G54" s="179" t="n">
        <x:v>0</x:v>
      </x:c>
      <x:c r="H54" s="179" t="n">
        <x:v>0.525</x:v>
      </x:c>
      <x:c r="I54" s="179" t="n">
        <x:v>0</x:v>
      </x:c>
      <x:c r="J54" s="179" t="n">
        <x:v>0.45</x:v>
      </x:c>
      <x:c r="K54" s="179" t="n">
        <x:v>0</x:v>
      </x:c>
      <x:c r="L54" s="179" t="n">
        <x:v>0</x:v>
      </x:c>
      <x:c r="M54" s="180" t="str">
        <x:f>IF(OR(AND(E54&lt;&gt;0,$C$9=""),AND(F54&lt;&gt;0,$D$9=""),AND(H54&lt;&gt;0,$F$9=""),AND(J54&lt;&gt;0,$H$9="")),"",SUMPRODUCT(E54:L54,$C$9:$J$9))</x:f>
      </x:c>
      <x:c r="N54" s="180" t="str">
        <x:f>IF(M54="","",(1.0)*$C$9+(0.75)*$D$9+(0.525)*$F$9+(0.45)*$H$9)</x:f>
      </x:c>
      <x:c r="O54" s="180" t="str">
        <x:f>IF(OR(M54="",N54=""),"",ABS(M54-N54))</x:f>
      </x:c>
      <x:c r="P54" s="142" t="str">
        <x:f>IF(M54="","PENDING",IF(O54&lt;=0.0001,"PASS","REVIEW"))</x:f>
        <x:v>PENDING</x:v>
      </x:c>
      <x:c r="Q54" s="142" t="str">
        <x:v>ASCE 7-22 §2.4.1 Eq. 6a</x:v>
      </x:c>
    </x:row>
    <x:row r="55">
      <x:c r="B55" s="142" t="str">
        <x:v>ASD-6-S-W-</x:v>
      </x:c>
      <x:c r="C55" s="142" t="str">
        <x:v>ASD</x:v>
      </x:c>
      <x:c r="D55" s="142" t="str">
        <x:v>-Wind + floor live + snow</x:v>
      </x:c>
      <x:c r="E55" s="179" t="n">
        <x:v>1</x:v>
      </x:c>
      <x:c r="F55" s="179" t="n">
        <x:v>0.75</x:v>
      </x:c>
      <x:c r="G55" s="179" t="n">
        <x:v>0</x:v>
      </x:c>
      <x:c r="H55" s="179" t="n">
        <x:v>0.525</x:v>
      </x:c>
      <x:c r="I55" s="179" t="n">
        <x:v>0</x:v>
      </x:c>
      <x:c r="J55" s="179" t="n">
        <x:v>-0.45</x:v>
      </x:c>
      <x:c r="K55" s="179" t="n">
        <x:v>0</x:v>
      </x:c>
      <x:c r="L55" s="179" t="n">
        <x:v>0</x:v>
      </x:c>
      <x:c r="M55" s="180" t="str">
        <x:f>IF(OR(AND(E55&lt;&gt;0,$C$9=""),AND(F55&lt;&gt;0,$D$9=""),AND(H55&lt;&gt;0,$F$9=""),AND(J55&lt;&gt;0,$H$9="")),"",SUMPRODUCT(E55:L55,$C$9:$J$9))</x:f>
      </x:c>
      <x:c r="N55" s="180" t="str">
        <x:f>IF(M55="","",(1.0)*$C$9+(0.75)*$D$9+(0.525)*$F$9+(-0.45)*$H$9)</x:f>
      </x:c>
      <x:c r="O55" s="180" t="str">
        <x:f>IF(OR(M55="",N55=""),"",ABS(M55-N55))</x:f>
      </x:c>
      <x:c r="P55" s="142" t="str">
        <x:f>IF(M55="","PENDING",IF(O55&lt;=0.0001,"PASS","REVIEW"))</x:f>
        <x:v>PENDING</x:v>
      </x:c>
      <x:c r="Q55" s="142" t="str">
        <x:v>ASCE 7-22 §2.4.1 Eq. 6a</x:v>
      </x:c>
    </x:row>
    <x:row r="56">
      <x:c r="B56" s="142" t="str">
        <x:v>ASD-6-R-W+</x:v>
      </x:c>
      <x:c r="C56" s="142" t="str">
        <x:v>ASD</x:v>
      </x:c>
      <x:c r="D56" s="142" t="str">
        <x:v>+Wind + floor live + rain</x:v>
      </x:c>
      <x:c r="E56" s="179" t="n">
        <x:v>1</x:v>
      </x:c>
      <x:c r="F56" s="179" t="n">
        <x:v>0.75</x:v>
      </x:c>
      <x:c r="G56" s="179" t="n">
        <x:v>0</x:v>
      </x:c>
      <x:c r="H56" s="179" t="n">
        <x:v>0</x:v>
      </x:c>
      <x:c r="I56" s="179" t="n">
        <x:v>0.75</x:v>
      </x:c>
      <x:c r="J56" s="179" t="n">
        <x:v>0.45</x:v>
      </x:c>
      <x:c r="K56" s="179" t="n">
        <x:v>0</x:v>
      </x:c>
      <x:c r="L56" s="179" t="n">
        <x:v>0</x:v>
      </x:c>
      <x:c r="M56" s="180" t="str">
        <x:f>IF(OR(AND(E56&lt;&gt;0,$C$9=""),AND(F56&lt;&gt;0,$D$9=""),AND(I56&lt;&gt;0,$G$9=""),AND(J56&lt;&gt;0,$H$9="")),"",SUMPRODUCT(E56:L56,$C$9:$J$9))</x:f>
      </x:c>
      <x:c r="N56" s="180" t="str">
        <x:f>IF(M56="","",(1.0)*$C$9+(0.75)*$D$9+(0.75)*$G$9+(0.45)*$H$9)</x:f>
      </x:c>
      <x:c r="O56" s="180" t="str">
        <x:f>IF(OR(M56="",N56=""),"",ABS(M56-N56))</x:f>
      </x:c>
      <x:c r="P56" s="142" t="str">
        <x:f>IF(M56="","PENDING",IF(O56&lt;=0.0001,"PASS","REVIEW"))</x:f>
        <x:v>PENDING</x:v>
      </x:c>
      <x:c r="Q56" s="142" t="str">
        <x:v>ASCE 7-22 §2.4.1 Eq. 6a</x:v>
      </x:c>
    </x:row>
    <x:row r="57">
      <x:c r="B57" s="142" t="str">
        <x:v>ASD-6-R-W-</x:v>
      </x:c>
      <x:c r="C57" s="142" t="str">
        <x:v>ASD</x:v>
      </x:c>
      <x:c r="D57" s="142" t="str">
        <x:v>-Wind + floor live + rain</x:v>
      </x:c>
      <x:c r="E57" s="179" t="n">
        <x:v>1</x:v>
      </x:c>
      <x:c r="F57" s="179" t="n">
        <x:v>0.75</x:v>
      </x:c>
      <x:c r="G57" s="179" t="n">
        <x:v>0</x:v>
      </x:c>
      <x:c r="H57" s="179" t="n">
        <x:v>0</x:v>
      </x:c>
      <x:c r="I57" s="179" t="n">
        <x:v>0.75</x:v>
      </x:c>
      <x:c r="J57" s="179" t="n">
        <x:v>-0.45</x:v>
      </x:c>
      <x:c r="K57" s="179" t="n">
        <x:v>0</x:v>
      </x:c>
      <x:c r="L57" s="179" t="n">
        <x:v>0</x:v>
      </x:c>
      <x:c r="M57" s="180" t="str">
        <x:f>IF(OR(AND(E57&lt;&gt;0,$C$9=""),AND(F57&lt;&gt;0,$D$9=""),AND(I57&lt;&gt;0,$G$9=""),AND(J57&lt;&gt;0,$H$9="")),"",SUMPRODUCT(E57:L57,$C$9:$J$9))</x:f>
      </x:c>
      <x:c r="N57" s="180" t="str">
        <x:f>IF(M57="","",(1.0)*$C$9+(0.75)*$D$9+(0.75)*$G$9+(-0.45)*$H$9)</x:f>
      </x:c>
      <x:c r="O57" s="180" t="str">
        <x:f>IF(OR(M57="",N57=""),"",ABS(M57-N57))</x:f>
      </x:c>
      <x:c r="P57" s="142" t="str">
        <x:f>IF(M57="","PENDING",IF(O57&lt;=0.0001,"PASS","REVIEW"))</x:f>
        <x:v>PENDING</x:v>
      </x:c>
      <x:c r="Q57" s="142" t="str">
        <x:v>ASCE 7-22 §2.4.1 Eq. 6a</x:v>
      </x:c>
    </x:row>
    <x:row r="58">
      <x:c r="B58" s="142" t="str">
        <x:v>ASD-7-W+</x:v>
      </x:c>
      <x:c r="C58" s="142" t="str">
        <x:v>ASD</x:v>
      </x:c>
      <x:c r="D58" s="142" t="str">
        <x:v>+Wind stability/uplift</x:v>
      </x:c>
      <x:c r="E58" s="179" t="n">
        <x:v>0.6</x:v>
      </x:c>
      <x:c r="F58" s="179" t="n">
        <x:v>0</x:v>
      </x:c>
      <x:c r="G58" s="179" t="n">
        <x:v>0</x:v>
      </x:c>
      <x:c r="H58" s="179" t="n">
        <x:v>0</x:v>
      </x:c>
      <x:c r="I58" s="179" t="n">
        <x:v>0</x:v>
      </x:c>
      <x:c r="J58" s="179" t="n">
        <x:v>0.6</x:v>
      </x:c>
      <x:c r="K58" s="179" t="n">
        <x:v>0</x:v>
      </x:c>
      <x:c r="L58" s="179" t="n">
        <x:v>0</x:v>
      </x:c>
      <x:c r="M58" s="180" t="str">
        <x:f>IF(OR(AND(E58&lt;&gt;0,$C$9=""),AND(J58&lt;&gt;0,$H$9="")),"",SUMPRODUCT(E58:L58,$C$9:$J$9))</x:f>
      </x:c>
      <x:c r="N58" s="180" t="str">
        <x:f>IF(M58="","",(0.6)*$C$9+(0.6)*$H$9)</x:f>
      </x:c>
      <x:c r="O58" s="180" t="str">
        <x:f>IF(OR(M58="",N58=""),"",ABS(M58-N58))</x:f>
      </x:c>
      <x:c r="P58" s="142" t="str">
        <x:f>IF(M58="","PENDING",IF(O58&lt;=0.0001,"PASS","REVIEW"))</x:f>
        <x:v>PENDING</x:v>
      </x:c>
      <x:c r="Q58" s="142" t="str">
        <x:v>ASCE 7-22 §2.4.1 Eq. 7a</x:v>
      </x:c>
    </x:row>
    <x:row r="59">
      <x:c r="B59" s="142" t="str">
        <x:v>ASD-7-W-</x:v>
      </x:c>
      <x:c r="C59" s="142" t="str">
        <x:v>ASD</x:v>
      </x:c>
      <x:c r="D59" s="142" t="str">
        <x:v>-Wind stability/uplift</x:v>
      </x:c>
      <x:c r="E59" s="179" t="n">
        <x:v>0.6</x:v>
      </x:c>
      <x:c r="F59" s="179" t="n">
        <x:v>0</x:v>
      </x:c>
      <x:c r="G59" s="179" t="n">
        <x:v>0</x:v>
      </x:c>
      <x:c r="H59" s="179" t="n">
        <x:v>0</x:v>
      </x:c>
      <x:c r="I59" s="179" t="n">
        <x:v>0</x:v>
      </x:c>
      <x:c r="J59" s="179" t="n">
        <x:v>-0.6</x:v>
      </x:c>
      <x:c r="K59" s="179" t="n">
        <x:v>0</x:v>
      </x:c>
      <x:c r="L59" s="179" t="n">
        <x:v>0</x:v>
      </x:c>
      <x:c r="M59" s="180" t="str">
        <x:f>IF(OR(AND(E59&lt;&gt;0,$C$9=""),AND(J59&lt;&gt;0,$H$9="")),"",SUMPRODUCT(E59:L59,$C$9:$J$9))</x:f>
      </x:c>
      <x:c r="N59" s="180" t="str">
        <x:f>IF(M59="","",(0.6)*$C$9+(-0.6)*$H$9)</x:f>
      </x:c>
      <x:c r="O59" s="180" t="str">
        <x:f>IF(OR(M59="",N59=""),"",ABS(M59-N59))</x:f>
      </x:c>
      <x:c r="P59" s="142" t="str">
        <x:f>IF(M59="","PENDING",IF(O59&lt;=0.0001,"PASS","REVIEW"))</x:f>
        <x:v>PENDING</x:v>
      </x:c>
      <x:c r="Q59" s="142" t="str">
        <x:v>ASCE 7-22 §2.4.1 Eq. 7a</x:v>
      </x:c>
    </x:row>
    <x:row r="60">
      <x:c r="B60" s="142" t="str">
        <x:v>ASD-8-E+</x:v>
      </x:c>
      <x:c r="C60" s="142" t="str">
        <x:v>ASD</x:v>
      </x:c>
      <x:c r="D60" s="142" t="str">
        <x:v>+Seismic horizontal</x:v>
      </x:c>
      <x:c r="E60" s="179" t="n">
        <x:v>1</x:v>
      </x:c>
      <x:c r="F60" s="179" t="n">
        <x:v>0</x:v>
      </x:c>
      <x:c r="G60" s="179" t="n">
        <x:v>0</x:v>
      </x:c>
      <x:c r="H60" s="179" t="n">
        <x:v>0</x:v>
      </x:c>
      <x:c r="I60" s="179" t="n">
        <x:v>0</x:v>
      </x:c>
      <x:c r="J60" s="179" t="n">
        <x:v>0</x:v>
      </x:c>
      <x:c r="K60" s="179" t="n">
        <x:v>0.7</x:v>
      </x:c>
      <x:c r="L60" s="179" t="n">
        <x:v>0.7</x:v>
      </x:c>
      <x:c r="M60" s="180" t="str">
        <x:f>IF(OR(AND(E60&lt;&gt;0,$C$9=""),AND(K60&lt;&gt;0,$I$9=""),AND(L60&lt;&gt;0,$J$9="")),"",SUMPRODUCT(E60:L60,$C$9:$J$9))</x:f>
      </x:c>
      <x:c r="N60" s="180" t="str">
        <x:f>IF(M60="","",(1.0)*$C$9+(0.7)*$I$9+(0.7)*$J$9)</x:f>
      </x:c>
      <x:c r="O60" s="180" t="str">
        <x:f>IF(OR(M60="",N60=""),"",ABS(M60-N60))</x:f>
      </x:c>
      <x:c r="P60" s="142" t="str">
        <x:f>IF(M60="","PENDING",IF(O60&lt;=0.0001,"PASS","REVIEW"))</x:f>
        <x:v>PENDING</x:v>
      </x:c>
      <x:c r="Q60" s="142" t="str">
        <x:v>ASCE 7-22 §2.4.5 Eq. 8</x:v>
      </x:c>
    </x:row>
    <x:row r="61">
      <x:c r="B61" s="142" t="str">
        <x:v>ASD-8-E-</x:v>
      </x:c>
      <x:c r="C61" s="142" t="str">
        <x:v>ASD</x:v>
      </x:c>
      <x:c r="D61" s="142" t="str">
        <x:v>-Seismic horizontal</x:v>
      </x:c>
      <x:c r="E61" s="179" t="n">
        <x:v>1</x:v>
      </x:c>
      <x:c r="F61" s="179" t="n">
        <x:v>0</x:v>
      </x:c>
      <x:c r="G61" s="179" t="n">
        <x:v>0</x:v>
      </x:c>
      <x:c r="H61" s="179" t="n">
        <x:v>0</x:v>
      </x:c>
      <x:c r="I61" s="179" t="n">
        <x:v>0</x:v>
      </x:c>
      <x:c r="J61" s="179" t="n">
        <x:v>0</x:v>
      </x:c>
      <x:c r="K61" s="179" t="n">
        <x:v>0.7</x:v>
      </x:c>
      <x:c r="L61" s="179" t="n">
        <x:v>-0.7</x:v>
      </x:c>
      <x:c r="M61" s="180" t="str">
        <x:f>IF(OR(AND(E61&lt;&gt;0,$C$9=""),AND(K61&lt;&gt;0,$I$9=""),AND(L61&lt;&gt;0,$J$9="")),"",SUMPRODUCT(E61:L61,$C$9:$J$9))</x:f>
      </x:c>
      <x:c r="N61" s="180" t="str">
        <x:f>IF(M61="","",(1.0)*$C$9+(0.7)*$I$9+(-0.7)*$J$9)</x:f>
      </x:c>
      <x:c r="O61" s="180" t="str">
        <x:f>IF(OR(M61="",N61=""),"",ABS(M61-N61))</x:f>
      </x:c>
      <x:c r="P61" s="142" t="str">
        <x:f>IF(M61="","PENDING",IF(O61&lt;=0.0001,"PASS","REVIEW"))</x:f>
        <x:v>PENDING</x:v>
      </x:c>
      <x:c r="Q61" s="142" t="str">
        <x:v>ASCE 7-22 §2.4.5 Eq. 8</x:v>
      </x:c>
    </x:row>
    <x:row r="62">
      <x:c r="B62" s="142" t="str">
        <x:v>ASD-9-E+</x:v>
      </x:c>
      <x:c r="C62" s="142" t="str">
        <x:v>ASD</x:v>
      </x:c>
      <x:c r="D62" s="142" t="str">
        <x:v>+Seismic + live + snow companion</x:v>
      </x:c>
      <x:c r="E62" s="179" t="n">
        <x:v>1</x:v>
      </x:c>
      <x:c r="F62" s="179" t="n">
        <x:v>0.75</x:v>
      </x:c>
      <x:c r="G62" s="179" t="n">
        <x:v>0</x:v>
      </x:c>
      <x:c r="H62" s="179" t="n">
        <x:v>0.1</x:v>
      </x:c>
      <x:c r="I62" s="179" t="n">
        <x:v>0</x:v>
      </x:c>
      <x:c r="J62" s="179" t="n">
        <x:v>0</x:v>
      </x:c>
      <x:c r="K62" s="179" t="n">
        <x:v>0.525</x:v>
      </x:c>
      <x:c r="L62" s="179" t="n">
        <x:v>0.525</x:v>
      </x:c>
      <x:c r="M62" s="180" t="str">
        <x:f>IF(OR(AND(E62&lt;&gt;0,$C$9=""),AND(F62&lt;&gt;0,$D$9=""),AND(H62&lt;&gt;0,$F$9=""),AND(K62&lt;&gt;0,$I$9=""),AND(L62&lt;&gt;0,$J$9="")),"",SUMPRODUCT(E62:L62,$C$9:$J$9))</x:f>
      </x:c>
      <x:c r="N62" s="180" t="str">
        <x:f>IF(M62="","",(1.0)*$C$9+(0.75)*$D$9+(0.1)*$F$9+(0.525)*$I$9+(0.525)*$J$9)</x:f>
      </x:c>
      <x:c r="O62" s="180" t="str">
        <x:f>IF(OR(M62="",N62=""),"",ABS(M62-N62))</x:f>
      </x:c>
      <x:c r="P62" s="142" t="str">
        <x:f>IF(M62="","PENDING",IF(O62&lt;=0.0001,"PASS","REVIEW"))</x:f>
        <x:v>PENDING</x:v>
      </x:c>
      <x:c r="Q62" s="142" t="str">
        <x:v>ASCE 7-22 §2.4.5 Eq. 9</x:v>
      </x:c>
    </x:row>
    <x:row r="63">
      <x:c r="B63" s="142" t="str">
        <x:v>ASD-9-E-</x:v>
      </x:c>
      <x:c r="C63" s="142" t="str">
        <x:v>ASD</x:v>
      </x:c>
      <x:c r="D63" s="142" t="str">
        <x:v>-Seismic + live + snow companion</x:v>
      </x:c>
      <x:c r="E63" s="179" t="n">
        <x:v>1</x:v>
      </x:c>
      <x:c r="F63" s="179" t="n">
        <x:v>0.75</x:v>
      </x:c>
      <x:c r="G63" s="179" t="n">
        <x:v>0</x:v>
      </x:c>
      <x:c r="H63" s="179" t="n">
        <x:v>0.1</x:v>
      </x:c>
      <x:c r="I63" s="179" t="n">
        <x:v>0</x:v>
      </x:c>
      <x:c r="J63" s="179" t="n">
        <x:v>0</x:v>
      </x:c>
      <x:c r="K63" s="179" t="n">
        <x:v>0.525</x:v>
      </x:c>
      <x:c r="L63" s="179" t="n">
        <x:v>-0.525</x:v>
      </x:c>
      <x:c r="M63" s="180" t="str">
        <x:f>IF(OR(AND(E63&lt;&gt;0,$C$9=""),AND(F63&lt;&gt;0,$D$9=""),AND(H63&lt;&gt;0,$F$9=""),AND(K63&lt;&gt;0,$I$9=""),AND(L63&lt;&gt;0,$J$9="")),"",SUMPRODUCT(E63:L63,$C$9:$J$9))</x:f>
      </x:c>
      <x:c r="N63" s="180" t="str">
        <x:f>IF(M63="","",(1.0)*$C$9+(0.75)*$D$9+(0.1)*$F$9+(0.525)*$I$9+(-0.525)*$J$9)</x:f>
      </x:c>
      <x:c r="O63" s="180" t="str">
        <x:f>IF(OR(M63="",N63=""),"",ABS(M63-N63))</x:f>
      </x:c>
      <x:c r="P63" s="142" t="str">
        <x:f>IF(M63="","PENDING",IF(O63&lt;=0.0001,"PASS","REVIEW"))</x:f>
        <x:v>PENDING</x:v>
      </x:c>
      <x:c r="Q63" s="142" t="str">
        <x:v>ASCE 7-22 §2.4.5 Eq. 9</x:v>
      </x:c>
    </x:row>
    <x:row r="64">
      <x:c r="B64" s="142" t="str">
        <x:v>ASD-10-E+</x:v>
      </x:c>
      <x:c r="C64" s="142" t="str">
        <x:v>ASD</x:v>
      </x:c>
      <x:c r="D64" s="142" t="str">
        <x:v>+Seismic stability/uplift</x:v>
      </x:c>
      <x:c r="E64" s="179" t="n">
        <x:v>0.6</x:v>
      </x:c>
      <x:c r="F64" s="179" t="n">
        <x:v>0</x:v>
      </x:c>
      <x:c r="G64" s="179" t="n">
        <x:v>0</x:v>
      </x:c>
      <x:c r="H64" s="179" t="n">
        <x:v>0</x:v>
      </x:c>
      <x:c r="I64" s="179" t="n">
        <x:v>0</x:v>
      </x:c>
      <x:c r="J64" s="179" t="n">
        <x:v>0</x:v>
      </x:c>
      <x:c r="K64" s="179" t="n">
        <x:v>-0.7</x:v>
      </x:c>
      <x:c r="L64" s="179" t="n">
        <x:v>0.7</x:v>
      </x:c>
      <x:c r="M64" s="180" t="str">
        <x:f>IF(OR(AND(E64&lt;&gt;0,$C$9=""),AND(K64&lt;&gt;0,$I$9=""),AND(L64&lt;&gt;0,$J$9="")),"",SUMPRODUCT(E64:L64,$C$9:$J$9))</x:f>
      </x:c>
      <x:c r="N64" s="180" t="str">
        <x:f>IF(M64="","",(0.6)*$C$9+(-0.7)*$I$9+(0.7)*$J$9)</x:f>
      </x:c>
      <x:c r="O64" s="180" t="str">
        <x:f>IF(OR(M64="",N64=""),"",ABS(M64-N64))</x:f>
      </x:c>
      <x:c r="P64" s="142" t="str">
        <x:f>IF(M64="","PENDING",IF(O64&lt;=0.0001,"PASS","REVIEW"))</x:f>
        <x:v>PENDING</x:v>
      </x:c>
      <x:c r="Q64" s="142" t="str">
        <x:v>ASCE 7-22 §2.4.5 Eq. 10</x:v>
      </x:c>
    </x:row>
    <x:row r="65">
      <x:c r="B65" s="142" t="str">
        <x:v>ASD-10-E-</x:v>
      </x:c>
      <x:c r="C65" s="142" t="str">
        <x:v>ASD</x:v>
      </x:c>
      <x:c r="D65" s="142" t="str">
        <x:v>-Seismic stability/uplift</x:v>
      </x:c>
      <x:c r="E65" s="179" t="n">
        <x:v>0.6</x:v>
      </x:c>
      <x:c r="F65" s="179" t="n">
        <x:v>0</x:v>
      </x:c>
      <x:c r="G65" s="179" t="n">
        <x:v>0</x:v>
      </x:c>
      <x:c r="H65" s="179" t="n">
        <x:v>0</x:v>
      </x:c>
      <x:c r="I65" s="179" t="n">
        <x:v>0</x:v>
      </x:c>
      <x:c r="J65" s="179" t="n">
        <x:v>0</x:v>
      </x:c>
      <x:c r="K65" s="179" t="n">
        <x:v>-0.7</x:v>
      </x:c>
      <x:c r="L65" s="179" t="n">
        <x:v>-0.7</x:v>
      </x:c>
      <x:c r="M65" s="180" t="str">
        <x:f>IF(OR(AND(E65&lt;&gt;0,$C$9=""),AND(K65&lt;&gt;0,$I$9=""),AND(L65&lt;&gt;0,$J$9="")),"",SUMPRODUCT(E65:L65,$C$9:$J$9))</x:f>
      </x:c>
      <x:c r="N65" s="180" t="str">
        <x:f>IF(M65="","",(0.6)*$C$9+(-0.7)*$I$9+(-0.7)*$J$9)</x:f>
      </x:c>
      <x:c r="O65" s="180" t="str">
        <x:f>IF(OR(M65="",N65=""),"",ABS(M65-N65))</x:f>
      </x:c>
      <x:c r="P65" s="142" t="str">
        <x:f>IF(M65="","PENDING",IF(O65&lt;=0.0001,"PASS","REVIEW"))</x:f>
        <x:v>PENDING</x:v>
      </x:c>
      <x:c r="Q65" s="142" t="str">
        <x:v>ASCE 7-22 §2.4.5 Eq. 10</x:v>
      </x:c>
    </x:row>
    <x:row r="68">
      <x:c r="B68" s="171" t="str">
        <x:v>SCOPE / FUTURE LOAD TYPES</x:v>
      </x:c>
      <x:c r="C68" s="171"/>
      <x:c r="D68" s="171"/>
      <x:c r="E68" s="171"/>
      <x:c r="F68" s="171"/>
      <x:c r="G68" s="171"/>
      <x:c r="H68" s="171"/>
      <x:c r="I68" s="171"/>
      <x:c r="J68" s="171"/>
      <x:c r="K68" s="171"/>
      <x:c r="L68" s="171"/>
      <x:c r="M68" s="171"/>
      <x:c r="N68" s="171"/>
      <x:c r="O68" s="171"/>
      <x:c r="P68" s="171"/>
      <x:c r="Q68" s="171"/>
    </x:row>
    <x:row r="69">
      <x:c r="B69" s="168" t="str">
        <x:v>Modeled now</x:v>
      </x:c>
      <x:c r="C69" s="168" t="str">
        <x:v>D, L, Lr, S, R, W, Ev, Eh</x:v>
      </x:c>
      <x:c r="D69" s="168" t="str">
        <x:v>Not yet modeled</x:v>
      </x:c>
      <x:c r="E69" s="168" t="str">
        <x:v>F, H, Fa, Di, Wi, T, WT, extraordinary-event and notional-load combinations</x:v>
      </x:c>
      <x:c r="F69" s="168" t="str">
        <x:v>Rule</x:v>
      </x:c>
      <x:c r="G69" s="168" t="str">
        <x:v>Do not substitute zero for an applicable load whose module is incomplete.</x:v>
      </x:c>
      <x:c r="H69" s="168" t="str"/>
      <x:c r="I69" s="168" t="str"/>
      <x:c r="J69" s="168" t="str"/>
      <x:c r="K69" s="168" t="str"/>
      <x:c r="L69" s="168" t="str"/>
      <x:c r="M69" s="168" t="str"/>
      <x:c r="N69" s="168" t="str"/>
      <x:c r="O69" s="168" t="str"/>
      <x:c r="P69" s="168" t="str"/>
      <x:c r="Q69" s="168" t="str"/>
    </x:row>
  </x:sheetData>
  <x:mergeCells>
    <x:mergeCell ref="B2:Q2"/>
    <x:mergeCell ref="B4:Q5"/>
    <x:mergeCell ref="B7:Q7"/>
    <x:mergeCell ref="B11:Q11"/>
    <x:mergeCell ref="B15:Q15"/>
    <x:mergeCell ref="B68:Q68"/>
    <x:mergeCell ref="B10:Q10"/>
  </x:mergeCells>
  <x:conditionalFormatting sqref="P17:P65">
    <x:cfRule type="expression" dxfId="18" priority="1">
      <x:formula>P17="PASS"</x:formula>
    </x:cfRule>
    <x:cfRule type="expression" dxfId="19" priority="2">
      <x:formula>P17="PENDING"</x:formula>
    </x:cfRule>
    <x:cfRule type="expression" dxfId="20" priority="3">
      <x:formula>P17="REVIEW"</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2" max="2" width="18" hidden="0" customWidth="1"/>
    <x:col min="3" max="3" width="14" hidden="0" customWidth="1"/>
    <x:col min="4" max="4" width="16" hidden="0" customWidth="1"/>
    <x:col min="5" max="5" width="16" hidden="0" customWidth="1"/>
    <x:col min="6" max="6" width="16" hidden="0" customWidth="1"/>
    <x:col min="7" max="7" width="18" hidden="0" customWidth="1"/>
    <x:col min="8" max="8" width="15" hidden="0" customWidth="1"/>
    <x:col min="9" max="9" width="12" hidden="0" customWidth="1"/>
    <x:col min="10" max="10" width="28" hidden="0" customWidth="1"/>
  </x:cols>
  <x:sheetData>
    <x:row r="2" ht="26" customHeight="1">
      <x:c r="B2" s="167" t="str">
        <x:v>LONGHAND LOAD COMBINATION — SELECTABLE TRACE</x:v>
      </x:c>
      <x:c r="C2" s="167"/>
      <x:c r="D2" s="167"/>
      <x:c r="E2" s="167"/>
      <x:c r="F2" s="167"/>
      <x:c r="G2" s="167"/>
      <x:c r="H2" s="167"/>
      <x:c r="I2" s="167"/>
      <x:c r="J2" s="167"/>
    </x:row>
    <x:row r="4">
      <x:c r="B4" s="168" t="str">
        <x:v>Select any explicit combination ID from the verified matrix. This page exposes the coefficients, project load-effect inputs, individual terms, summed demand, redundant direct formula, source clause, and validation status.</x:v>
      </x:c>
      <x:c r="C4" s="168"/>
      <x:c r="D4" s="168"/>
      <x:c r="E4" s="168"/>
      <x:c r="F4" s="168"/>
      <x:c r="G4" s="168"/>
      <x:c r="H4" s="168"/>
      <x:c r="I4" s="168"/>
      <x:c r="J4" s="168"/>
    </x:row>
    <x:row r="5">
      <x:c r="B5" s="168"/>
      <x:c r="C5" s="168"/>
      <x:c r="D5" s="168"/>
      <x:c r="E5" s="168"/>
      <x:c r="F5" s="168"/>
      <x:c r="G5" s="168"/>
      <x:c r="H5" s="168"/>
      <x:c r="I5" s="168"/>
      <x:c r="J5" s="168"/>
    </x:row>
    <x:row r="7">
      <x:c r="B7" s="171" t="str">
        <x:v>SELECTION</x:v>
      </x:c>
      <x:c r="C7" s="171"/>
      <x:c r="D7" s="171"/>
      <x:c r="E7" s="171"/>
      <x:c r="F7" s="171"/>
      <x:c r="G7" s="171"/>
      <x:c r="H7" s="171"/>
      <x:c r="I7" s="171"/>
      <x:c r="J7" s="171"/>
    </x:row>
    <x:row r="8">
      <x:c r="B8" s="176" t="str">
        <x:v>Selected Combo ID</x:v>
      </x:c>
      <x:c r="C8" s="176" t="str">
        <x:v>Basis</x:v>
      </x:c>
      <x:c r="D8" s="176" t="str">
        <x:v>Reference</x:v>
      </x:c>
    </x:row>
    <x:row r="9">
      <x:c r="B9" t="str">
        <x:v>ASD-4-S</x:v>
      </x:c>
      <x:c r="C9" t="str">
        <x:f>IFERROR(VLOOKUP(B9,'14_LOAD_COMBOS'!$B$17:$Q$65,2,FALSE),"")</x:f>
        <x:v>ASD</x:v>
      </x:c>
      <x:c r="D9" t="str">
        <x:f>IFERROR(VLOOKUP(B9,'14_LOAD_COMBOS'!$B$17:$Q$65,16,FALSE),"")</x:f>
        <x:v>ASCE 7-22 §2.4.1 Eq. 4a</x:v>
      </x:c>
    </x:row>
    <x:row r="11">
      <x:c r="B11" s="171" t="str">
        <x:v>TERM-BY-TERM SUBSTITUTION</x:v>
      </x:c>
      <x:c r="C11" s="171"/>
      <x:c r="D11" s="171"/>
      <x:c r="E11" s="171"/>
      <x:c r="F11" s="171"/>
      <x:c r="G11" s="171"/>
      <x:c r="H11" s="171"/>
      <x:c r="I11" s="171"/>
      <x:c r="J11" s="171"/>
    </x:row>
    <x:row r="12">
      <x:c r="B12" s="176" t="str">
        <x:v>Load</x:v>
      </x:c>
      <x:c r="C12" s="176" t="str">
        <x:v>Coefficient</x:v>
      </x:c>
      <x:c r="D12" s="176" t="str">
        <x:v>Project Effect</x:v>
      </x:c>
      <x:c r="E12" s="176" t="str">
        <x:v>Term</x:v>
      </x:c>
      <x:c r="F12" s="176" t="str">
        <x:v>Unit</x:v>
      </x:c>
      <x:c r="G12" s="176" t="str">
        <x:v>Input Source</x:v>
      </x:c>
      <x:c r="H12" s="176" t="str">
        <x:v>Origin</x:v>
      </x:c>
      <x:c r="I12" s="176" t="str">
        <x:v>Status</x:v>
      </x:c>
      <x:c r="J12" s="176" t="str">
        <x:v>Notes</x:v>
      </x:c>
    </x:row>
    <x:row r="13">
      <x:c r="B13" s="146" t="str">
        <x:v>D</x:v>
      </x:c>
      <x:c r="C13" s="146" t="n">
        <x:f>IFERROR(VLOOKUP($B$9,'14_LOAD_COMBOS'!$B$17:$Q$65,4,FALSE),"")</x:f>
        <x:v>1</x:v>
      </x:c>
      <x:c r="D13" s="146" t="n">
        <x:f>'14_LOAD_COMBOS'!$C$9</x:f>
        <x:v>0</x:v>
      </x:c>
      <x:c r="E13" s="146" t="str">
        <x:f>IF(OR(C13="",D13=""),"",C13*D13)</x:f>
      </x:c>
      <x:c r="F13" s="146" t="str">
        <x:v>compatible effect</x:v>
      </x:c>
      <x:c r="G13" s="146" t="str">
        <x:v>14_LOAD_COMBOS</x:v>
      </x:c>
      <x:c r="H13" s="146" t="str">
        <x:v>Module / code</x:v>
      </x:c>
      <x:c r="I13" s="146" t="str">
        <x:f>IF(C13=0,"N/A",IF(D13="","PENDING","USED"))</x:f>
        <x:v>PENDING</x:v>
      </x:c>
      <x:c r="J13" s="146" t="str">
        <x:v>Sign is carried by coefficient.</x:v>
      </x:c>
    </x:row>
    <x:row r="14">
      <x:c r="B14" s="146" t="str">
        <x:v>L</x:v>
      </x:c>
      <x:c r="C14" s="146" t="n">
        <x:f>IFERROR(VLOOKUP($B$9,'14_LOAD_COMBOS'!$B$17:$Q$65,5,FALSE),"")</x:f>
        <x:v>0.75</x:v>
      </x:c>
      <x:c r="D14" s="146" t="n">
        <x:f>'14_LOAD_COMBOS'!$D$9</x:f>
        <x:v>0</x:v>
      </x:c>
      <x:c r="E14" s="146" t="str">
        <x:f>IF(OR(C14="",D14=""),"",C14*D14)</x:f>
      </x:c>
      <x:c r="F14" s="146" t="str">
        <x:v>compatible effect</x:v>
      </x:c>
      <x:c r="G14" s="146" t="str">
        <x:v>14_LOAD_COMBOS</x:v>
      </x:c>
      <x:c r="H14" s="146" t="str">
        <x:v>Module / code</x:v>
      </x:c>
      <x:c r="I14" s="146" t="str">
        <x:f>IF(C14=0,"N/A",IF(D14="","PENDING","USED"))</x:f>
        <x:v>PENDING</x:v>
      </x:c>
      <x:c r="J14" s="146" t="str">
        <x:v>Sign is carried by coefficient.</x:v>
      </x:c>
    </x:row>
    <x:row r="15">
      <x:c r="B15" s="146" t="str">
        <x:v>Lr</x:v>
      </x:c>
      <x:c r="C15" s="146" t="n">
        <x:f>IFERROR(VLOOKUP($B$9,'14_LOAD_COMBOS'!$B$17:$Q$65,6,FALSE),"")</x:f>
        <x:v>0</x:v>
      </x:c>
      <x:c r="D15" s="146" t="n">
        <x:f>'14_LOAD_COMBOS'!$E$9</x:f>
        <x:v>0</x:v>
      </x:c>
      <x:c r="E15" s="146" t="str">
        <x:f>IF(OR(C15="",D15=""),"",C15*D15)</x:f>
      </x:c>
      <x:c r="F15" s="146" t="str">
        <x:v>compatible effect</x:v>
      </x:c>
      <x:c r="G15" s="146" t="str">
        <x:v>14_LOAD_COMBOS</x:v>
      </x:c>
      <x:c r="H15" s="146" t="str">
        <x:v>Module / code</x:v>
      </x:c>
      <x:c r="I15" s="146" t="str">
        <x:f>IF(C15=0,"N/A",IF(D15="","PENDING","USED"))</x:f>
        <x:v>N/A</x:v>
      </x:c>
      <x:c r="J15" s="146" t="str">
        <x:v>Sign is carried by coefficient.</x:v>
      </x:c>
    </x:row>
    <x:row r="16">
      <x:c r="B16" s="146" t="str">
        <x:v>S</x:v>
      </x:c>
      <x:c r="C16" s="146" t="n">
        <x:f>IFERROR(VLOOKUP($B$9,'14_LOAD_COMBOS'!$B$17:$Q$65,7,FALSE),"")</x:f>
        <x:v>0.525</x:v>
      </x:c>
      <x:c r="D16" s="146" t="n">
        <x:f>'14_LOAD_COMBOS'!$F$9</x:f>
        <x:v>0</x:v>
      </x:c>
      <x:c r="E16" s="146" t="str">
        <x:f>IF(OR(C16="",D16=""),"",C16*D16)</x:f>
      </x:c>
      <x:c r="F16" s="146" t="str">
        <x:v>compatible effect</x:v>
      </x:c>
      <x:c r="G16" s="146" t="str">
        <x:v>14_LOAD_COMBOS</x:v>
      </x:c>
      <x:c r="H16" s="146" t="str">
        <x:v>Module / code</x:v>
      </x:c>
      <x:c r="I16" s="146" t="str">
        <x:f>IF(C16=0,"N/A",IF(D16="","PENDING","USED"))</x:f>
        <x:v>PENDING</x:v>
      </x:c>
      <x:c r="J16" s="146" t="str">
        <x:v>Sign is carried by coefficient.</x:v>
      </x:c>
    </x:row>
    <x:row r="17">
      <x:c r="B17" s="146" t="str">
        <x:v>R</x:v>
      </x:c>
      <x:c r="C17" s="146" t="n">
        <x:f>IFERROR(VLOOKUP($B$9,'14_LOAD_COMBOS'!$B$17:$Q$65,8,FALSE),"")</x:f>
        <x:v>0</x:v>
      </x:c>
      <x:c r="D17" s="146" t="n">
        <x:f>'14_LOAD_COMBOS'!$G$9</x:f>
        <x:v>0</x:v>
      </x:c>
      <x:c r="E17" s="146" t="str">
        <x:f>IF(OR(C17="",D17=""),"",C17*D17)</x:f>
      </x:c>
      <x:c r="F17" s="146" t="str">
        <x:v>compatible effect</x:v>
      </x:c>
      <x:c r="G17" s="146" t="str">
        <x:v>14_LOAD_COMBOS</x:v>
      </x:c>
      <x:c r="H17" s="146" t="str">
        <x:v>Module / code</x:v>
      </x:c>
      <x:c r="I17" s="146" t="str">
        <x:f>IF(C17=0,"N/A",IF(D17="","PENDING","USED"))</x:f>
        <x:v>N/A</x:v>
      </x:c>
      <x:c r="J17" s="146" t="str">
        <x:v>Sign is carried by coefficient.</x:v>
      </x:c>
    </x:row>
    <x:row r="18">
      <x:c r="B18" s="146" t="str">
        <x:v>W</x:v>
      </x:c>
      <x:c r="C18" s="146" t="n">
        <x:f>IFERROR(VLOOKUP($B$9,'14_LOAD_COMBOS'!$B$17:$Q$65,9,FALSE),"")</x:f>
        <x:v>0</x:v>
      </x:c>
      <x:c r="D18" s="146" t="n">
        <x:f>'14_LOAD_COMBOS'!$H$9</x:f>
        <x:v>0</x:v>
      </x:c>
      <x:c r="E18" s="146" t="str">
        <x:f>IF(OR(C18="",D18=""),"",C18*D18)</x:f>
      </x:c>
      <x:c r="F18" s="146" t="str">
        <x:v>compatible effect</x:v>
      </x:c>
      <x:c r="G18" s="146" t="str">
        <x:v>14_LOAD_COMBOS</x:v>
      </x:c>
      <x:c r="H18" s="146" t="str">
        <x:v>Module / code</x:v>
      </x:c>
      <x:c r="I18" s="146" t="str">
        <x:f>IF(C18=0,"N/A",IF(D18="","PENDING","USED"))</x:f>
        <x:v>N/A</x:v>
      </x:c>
      <x:c r="J18" s="146" t="str">
        <x:v>Sign is carried by coefficient.</x:v>
      </x:c>
    </x:row>
    <x:row r="19">
      <x:c r="B19" s="146" t="str">
        <x:v>Ev</x:v>
      </x:c>
      <x:c r="C19" s="146" t="n">
        <x:f>IFERROR(VLOOKUP($B$9,'14_LOAD_COMBOS'!$B$17:$Q$65,10,FALSE),"")</x:f>
        <x:v>0</x:v>
      </x:c>
      <x:c r="D19" s="146" t="n">
        <x:f>'14_LOAD_COMBOS'!$I$9</x:f>
        <x:v>0</x:v>
      </x:c>
      <x:c r="E19" s="146" t="str">
        <x:f>IF(OR(C19="",D19=""),"",C19*D19)</x:f>
      </x:c>
      <x:c r="F19" s="146" t="str">
        <x:v>compatible effect</x:v>
      </x:c>
      <x:c r="G19" s="146" t="str">
        <x:v>14_LOAD_COMBOS</x:v>
      </x:c>
      <x:c r="H19" s="146" t="str">
        <x:v>Module / code</x:v>
      </x:c>
      <x:c r="I19" s="146" t="str">
        <x:f>IF(C19=0,"N/A",IF(D19="","PENDING","USED"))</x:f>
        <x:v>N/A</x:v>
      </x:c>
      <x:c r="J19" s="146" t="str">
        <x:v>Sign is carried by coefficient.</x:v>
      </x:c>
    </x:row>
    <x:row r="20">
      <x:c r="B20" s="146" t="str">
        <x:v>Eh</x:v>
      </x:c>
      <x:c r="C20" s="146" t="n">
        <x:f>IFERROR(VLOOKUP($B$9,'14_LOAD_COMBOS'!$B$17:$Q$65,11,FALSE),"")</x:f>
        <x:v>0</x:v>
      </x:c>
      <x:c r="D20" s="146" t="n">
        <x:f>'14_LOAD_COMBOS'!$J$9</x:f>
        <x:v>0</x:v>
      </x:c>
      <x:c r="E20" s="146" t="str">
        <x:f>IF(OR(C20="",D20=""),"",C20*D20)</x:f>
      </x:c>
      <x:c r="F20" s="146" t="str">
        <x:v>compatible effect</x:v>
      </x:c>
      <x:c r="G20" s="146" t="str">
        <x:v>14_LOAD_COMBOS</x:v>
      </x:c>
      <x:c r="H20" s="146" t="str">
        <x:v>Module / code</x:v>
      </x:c>
      <x:c r="I20" s="146" t="str">
        <x:f>IF(C20=0,"N/A",IF(D20="","PENDING","USED"))</x:f>
        <x:v>N/A</x:v>
      </x:c>
      <x:c r="J20" s="146" t="str">
        <x:v>Sign is carried by coefficient.</x:v>
      </x:c>
    </x:row>
    <x:row r="23">
      <x:c r="B23" s="171" t="str">
        <x:v>RESULT / REDUNDANT CHECK</x:v>
      </x:c>
      <x:c r="C23" s="171"/>
      <x:c r="D23" s="171"/>
      <x:c r="E23" s="171"/>
      <x:c r="F23" s="171"/>
      <x:c r="G23" s="171"/>
      <x:c r="H23" s="171"/>
      <x:c r="I23" s="171"/>
      <x:c r="J23" s="171"/>
    </x:row>
    <x:row r="24">
      <x:c r="B24" s="176" t="str">
        <x:v>Item</x:v>
      </x:c>
      <x:c r="C24" s="176" t="str">
        <x:v>Value</x:v>
      </x:c>
      <x:c r="D24" s="176" t="str">
        <x:v>Unit</x:v>
      </x:c>
      <x:c r="E24" s="176" t="str">
        <x:v>Tolerance</x:v>
      </x:c>
      <x:c r="F24" s="176" t="str">
        <x:v>Status</x:v>
      </x:c>
    </x:row>
    <x:row r="25">
      <x:c r="B25" t="str">
        <x:v>Sum of visible terms</x:v>
      </x:c>
      <x:c r="C25" t="str">
        <x:f>IF(COUNT(E13:E20)=0,"",SUM(E13:E20))</x:f>
      </x:c>
      <x:c r="D25" t="str">
        <x:v>compatible effect</x:v>
      </x:c>
    </x:row>
    <x:row r="26">
      <x:c r="B26" t="str">
        <x:v>Matrix engine demand</x:v>
      </x:c>
      <x:c r="C26" t="str">
        <x:f>IFERROR(VLOOKUP(B9,'14_LOAD_COMBOS'!$B$17:$Q$65,12,FALSE),"")</x:f>
      </x:c>
      <x:c r="D26" t="str">
        <x:v>compatible effect</x:v>
      </x:c>
    </x:row>
    <x:row r="27">
      <x:c r="B27" t="str">
        <x:v>Direct formula check</x:v>
      </x:c>
      <x:c r="C27" t="str">
        <x:f>IFERROR(VLOOKUP(B9,'14_LOAD_COMBOS'!$B$17:$Q$65,13,FALSE),"")</x:f>
      </x:c>
      <x:c r="D27" t="str">
        <x:v>compatible effect</x:v>
      </x:c>
    </x:row>
    <x:row r="28">
      <x:c r="B28" t="str">
        <x:v>Difference</x:v>
      </x:c>
      <x:c r="C28" t="str">
        <x:f>IF(OR(C26="",C27=""),"",ABS(C26-C27))</x:f>
      </x:c>
      <x:c r="D28" t="n">
        <x:v>0.0001</x:v>
      </x:c>
      <x:c r="E28" t="str"/>
    </x:row>
    <x:row r="29">
      <x:c r="B29" t="str">
        <x:v>Validation</x:v>
      </x:c>
      <x:c r="C29" t="str">
        <x:f>IF(C28="","PENDING",IF(C28&lt;=D28,"PASS","REVIEW"))</x:f>
        <x:v>PENDING</x:v>
      </x:c>
      <x:c r="D29" t="str"/>
      <x:c r="E29" t="str">
        <x:f>C29</x:f>
        <x:v>PENDING</x:v>
      </x:c>
    </x:row>
    <x:row r="32">
      <x:c r="B32" s="171" t="str">
        <x:v>SOURCE / REVIEW NOTES</x:v>
      </x:c>
      <x:c r="C32" s="171"/>
      <x:c r="D32" s="171"/>
      <x:c r="E32" s="171"/>
      <x:c r="F32" s="171"/>
      <x:c r="G32" s="171"/>
      <x:c r="H32" s="171"/>
      <x:c r="I32" s="171"/>
      <x:c r="J32" s="171"/>
    </x:row>
    <x:row r="33">
      <x:c r="B33" s="168" t="str">
        <x:v>Primary authority: ASCE/SEI 7-22 Chapter 2, as adopted/amended by the 2025 California Building Code. Secondary coefficient check: ICC educational material for the 2024 IBC / ASCE 7-22. Before permit issue, the project issue validation log should record an independent recalculation of the actual project envelope.</x:v>
      </x:c>
      <x:c r="C33" s="168"/>
      <x:c r="D33" s="168"/>
      <x:c r="E33" s="168"/>
      <x:c r="F33" s="168"/>
      <x:c r="G33" s="168"/>
      <x:c r="H33" s="168"/>
      <x:c r="I33" s="168"/>
      <x:c r="J33" s="168"/>
    </x:row>
    <x:row r="34">
      <x:c r="B34" s="168"/>
      <x:c r="C34" s="168"/>
      <x:c r="D34" s="168"/>
      <x:c r="E34" s="168"/>
      <x:c r="F34" s="168"/>
      <x:c r="G34" s="168"/>
      <x:c r="H34" s="168"/>
      <x:c r="I34" s="168"/>
      <x:c r="J34" s="168"/>
    </x:row>
    <x:row r="35">
      <x:c r="B35" s="168"/>
      <x:c r="C35" s="168"/>
      <x:c r="D35" s="168"/>
      <x:c r="E35" s="168"/>
      <x:c r="F35" s="168"/>
      <x:c r="G35" s="168"/>
      <x:c r="H35" s="168"/>
      <x:c r="I35" s="168"/>
      <x:c r="J35" s="168"/>
    </x:row>
    <x:row r="36">
      <x:c r="B36" s="168"/>
      <x:c r="C36" s="168"/>
      <x:c r="D36" s="168"/>
      <x:c r="E36" s="168"/>
      <x:c r="F36" s="168"/>
      <x:c r="G36" s="168"/>
      <x:c r="H36" s="168"/>
      <x:c r="I36" s="168"/>
      <x:c r="J36" s="168"/>
    </x:row>
  </x:sheetData>
  <x:mergeCells>
    <x:mergeCell ref="B2:J2"/>
    <x:mergeCell ref="B4:J5"/>
    <x:mergeCell ref="B7:J7"/>
    <x:mergeCell ref="B11:J11"/>
    <x:mergeCell ref="B23:J23"/>
    <x:mergeCell ref="B32:J32"/>
    <x:mergeCell ref="B33:J36"/>
  </x:mergeCells>
  <x:conditionalFormatting sqref="I13:I20">
    <x:cfRule type="expression" dxfId="21" priority="1">
      <x:formula>I13="PENDING"</x:formula>
    </x:cfRule>
  </x:conditionalFormatting>
  <x:conditionalFormatting sqref="E29:E29">
    <x:cfRule type="expression" dxfId="22" priority="2">
      <x:formula>E29="PASS"</x:formula>
    </x:cfRule>
    <x:cfRule type="expression" dxfId="23" priority="3">
      <x:formula>E29="REVIEW"</x:formula>
    </x:cfRule>
  </x:conditionalFormatting>
  <x:dataValidations count="1">
    <x:dataValidation type="list" sqref="B9">
      <x:formula1>'14_LOAD_COMBOS'!$B$17:$B$65</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 hidden="0" customWidth="1"/>
    <x:col min="2" max="2" width="20" hidden="0" customWidth="1"/>
    <x:col min="3" max="3" width="20" hidden="0" customWidth="1"/>
    <x:col min="4" max="4" width="15" hidden="0" customWidth="1"/>
    <x:col min="5" max="5" width="28" hidden="0" customWidth="1"/>
    <x:col min="6" max="6" width="15" hidden="0" customWidth="1"/>
    <x:col min="7" max="7" width="15" hidden="0" customWidth="1"/>
    <x:col min="8" max="8" width="22" hidden="0" customWidth="1"/>
    <x:col min="9" max="9" width="15" hidden="0" customWidth="1"/>
    <x:col min="10" max="10" width="16" hidden="0" customWidth="1"/>
    <x:col min="11" max="11" width="14" hidden="0" customWidth="1"/>
    <x:col min="12" max="12" width="12" hidden="0" customWidth="1"/>
    <x:col min="13" max="13" width="12" hidden="0" customWidth="1"/>
    <x:col min="14" max="14" width="14" hidden="0" customWidth="1"/>
    <x:col min="15" max="15" width="12" hidden="0" customWidth="1"/>
    <x:col min="16" max="16" width="12" hidden="0" customWidth="1"/>
    <x:col min="17" max="17" width="12" hidden="0" customWidth="1"/>
    <x:col min="18" max="18" width="34" hidden="0" customWidth="1"/>
  </x:cols>
  <x:sheetData>
    <x:row r="1">
      <x:c r="B1" s="140"/>
      <x:c r="C1" s="140"/>
      <x:c r="D1" s="140"/>
      <x:c r="E1" s="140"/>
      <x:c r="F1" s="140"/>
      <x:c r="G1" s="140"/>
      <x:c r="H1" s="140"/>
      <x:c r="I1" s="140"/>
      <x:c r="J1" s="140"/>
      <x:c r="K1" s="140"/>
      <x:c r="L1" s="140"/>
      <x:c r="M1" s="140"/>
      <x:c r="N1" s="140"/>
      <x:c r="O1" s="140"/>
      <x:c r="P1" s="140"/>
      <x:c r="Q1" s="140"/>
      <x:c r="R1" s="140"/>
    </x:row>
    <x:row r="2" ht="24" customHeight="1">
      <x:c r="B2" s="253" t="str">
        <x:v>WIND DESIGN ENGINE — ASCE 7-22 / 2025 CBC</x:v>
      </x:c>
      <x:c r="C2" s="253"/>
      <x:c r="D2" s="253"/>
      <x:c r="E2" s="253"/>
      <x:c r="F2" s="253"/>
      <x:c r="G2" s="253"/>
      <x:c r="H2" s="253"/>
      <x:c r="I2" s="253"/>
      <x:c r="J2" s="253"/>
      <x:c r="K2" s="140"/>
      <x:c r="L2" s="140"/>
      <x:c r="M2" s="140"/>
      <x:c r="N2" s="206" t="str">
        <x:v>CONTROLLED REFERENCE DATA / QA</x:v>
      </x:c>
      <x:c r="O2" s="206"/>
      <x:c r="P2" s="206"/>
      <x:c r="Q2" s="206"/>
      <x:c r="R2" s="206"/>
    </x:row>
    <x:row r="3">
      <x:c r="B3" s="140"/>
      <x:c r="C3" s="140"/>
      <x:c r="D3" s="140"/>
      <x:c r="E3" s="140"/>
      <x:c r="F3" s="140"/>
      <x:c r="G3" s="140"/>
      <x:c r="H3" s="140"/>
      <x:c r="I3" s="140"/>
      <x:c r="J3" s="140"/>
      <x:c r="K3" s="140"/>
      <x:c r="L3" s="140"/>
      <x:c r="M3" s="140"/>
      <x:c r="N3" s="231" t="str">
        <x:v>Height ft</x:v>
      </x:c>
      <x:c r="O3" s="231" t="str">
        <x:v>Exp B</x:v>
      </x:c>
      <x:c r="P3" s="231" t="str">
        <x:v>Exp C</x:v>
      </x:c>
      <x:c r="Q3" s="231" t="str">
        <x:v>Exp D</x:v>
      </x:c>
      <x:c r="R3" s="231" t="str">
        <x:v>Source</x:v>
      </x:c>
    </x:row>
    <x:row r="4">
      <x:c r="B4" s="224" t="str">
        <x:v>Current scope: low-rise building wind pressure engine using the ASCE 7-22 Chapter 28 Envelope Procedure, plus a generic Chapter 30 Components &amp; Cladding pressure engine. Code-figure external coefficients remain controlled inputs until a licensed ASCE data source is integrated. The module intentionally flags missing hazard, geometry, enclosure, topographic, or coefficient data instead of assuming values.</x:v>
      </x:c>
      <x:c r="C4" s="224"/>
      <x:c r="D4" s="224"/>
      <x:c r="E4" s="224"/>
      <x:c r="F4" s="224"/>
      <x:c r="G4" s="224"/>
      <x:c r="H4" s="224"/>
      <x:c r="I4" s="224"/>
      <x:c r="J4" s="224"/>
      <x:c r="K4" s="140"/>
      <x:c r="L4" s="140"/>
      <x:c r="M4" s="140"/>
      <x:c r="N4" s="140" t="n">
        <x:v>15</x:v>
      </x:c>
      <x:c r="O4" s="140" t="n">
        <x:v>0.57</x:v>
      </x:c>
      <x:c r="P4" s="140" t="n">
        <x:v>0.85</x:v>
      </x:c>
      <x:c r="Q4" s="140" t="n">
        <x:v>1.04</x:v>
      </x:c>
      <x:c r="R4" s="140" t="str">
        <x:v>ASCE 7-22 Table 26.10-1</x:v>
      </x:c>
    </x:row>
    <x:row r="5">
      <x:c r="B5" s="224"/>
      <x:c r="C5" s="224"/>
      <x:c r="D5" s="224"/>
      <x:c r="E5" s="224"/>
      <x:c r="F5" s="224"/>
      <x:c r="G5" s="224"/>
      <x:c r="H5" s="224"/>
      <x:c r="I5" s="224"/>
      <x:c r="J5" s="224"/>
      <x:c r="K5" s="140"/>
      <x:c r="L5" s="140"/>
      <x:c r="M5" s="140"/>
      <x:c r="N5" s="140" t="n">
        <x:v>20</x:v>
      </x:c>
      <x:c r="O5" s="140" t="n">
        <x:v>0.62</x:v>
      </x:c>
      <x:c r="P5" s="140" t="n">
        <x:v>0.9</x:v>
      </x:c>
      <x:c r="Q5" s="140" t="n">
        <x:v>1.09</x:v>
      </x:c>
      <x:c r="R5" s="140" t="str">
        <x:v>ASCE 7-22 Table 26.10-1</x:v>
      </x:c>
    </x:row>
    <x:row r="6">
      <x:c r="B6" s="140"/>
      <x:c r="C6" s="140"/>
      <x:c r="D6" s="140"/>
      <x:c r="E6" s="140"/>
      <x:c r="F6" s="140"/>
      <x:c r="G6" s="140"/>
      <x:c r="H6" s="140"/>
      <x:c r="I6" s="140"/>
      <x:c r="J6" s="140"/>
      <x:c r="K6" s="140"/>
      <x:c r="L6" s="140"/>
      <x:c r="M6" s="140"/>
      <x:c r="N6" s="140" t="n">
        <x:v>25</x:v>
      </x:c>
      <x:c r="O6" s="140" t="n">
        <x:v>0.66</x:v>
      </x:c>
      <x:c r="P6" s="140" t="n">
        <x:v>0.94</x:v>
      </x:c>
      <x:c r="Q6" s="140" t="n">
        <x:v>1.13</x:v>
      </x:c>
      <x:c r="R6" s="140" t="str">
        <x:v>ASCE 7-22 Table 26.10-1</x:v>
      </x:c>
    </x:row>
    <x:row r="7">
      <x:c r="B7" s="206" t="str">
        <x:v>DESIGN BASIS &amp; PROJECT PARAMETERS</x:v>
      </x:c>
      <x:c r="C7" s="206"/>
      <x:c r="D7" s="206"/>
      <x:c r="E7" s="206"/>
      <x:c r="F7" s="206"/>
      <x:c r="G7" s="206"/>
      <x:c r="H7" s="206"/>
      <x:c r="I7" s="206"/>
      <x:c r="J7" s="206"/>
      <x:c r="K7" s="140"/>
      <x:c r="L7" s="140"/>
      <x:c r="M7" s="140"/>
      <x:c r="N7" s="140" t="n">
        <x:v>30</x:v>
      </x:c>
      <x:c r="O7" s="140" t="n">
        <x:v>0.69</x:v>
      </x:c>
      <x:c r="P7" s="140" t="n">
        <x:v>0.98</x:v>
      </x:c>
      <x:c r="Q7" s="140" t="n">
        <x:v>1.17</x:v>
      </x:c>
      <x:c r="R7" s="140" t="str">
        <x:v>ASCE 7-22 Table 26.10-1</x:v>
      </x:c>
    </x:row>
    <x:row r="8">
      <x:c r="B8" s="231" t="str">
        <x:v>Parameter</x:v>
      </x:c>
      <x:c r="C8" s="231" t="str">
        <x:v>Value</x:v>
      </x:c>
      <x:c r="D8" s="231" t="str">
        <x:v>Unit</x:v>
      </x:c>
      <x:c r="E8" s="231" t="str">
        <x:v>Origin / Source</x:v>
      </x:c>
      <x:c r="F8" s="231" t="str">
        <x:v>Status</x:v>
      </x:c>
      <x:c r="G8" s="140"/>
      <x:c r="H8" s="231" t="str">
        <x:v>CHAPTER 28 APPLICABILITY CHECK</x:v>
      </x:c>
      <x:c r="I8" s="231"/>
      <x:c r="J8" s="231"/>
      <x:c r="K8" s="140"/>
      <x:c r="L8" s="140"/>
      <x:c r="M8" s="140"/>
      <x:c r="N8" s="140" t="n">
        <x:v>40</x:v>
      </x:c>
      <x:c r="O8" s="140" t="n">
        <x:v>0.74</x:v>
      </x:c>
      <x:c r="P8" s="140" t="n">
        <x:v>1.04</x:v>
      </x:c>
      <x:c r="Q8" s="140" t="n">
        <x:v>1.23</x:v>
      </x:c>
      <x:c r="R8" s="140" t="str">
        <x:v>ASCE 7-22 Table 26.10-1</x:v>
      </x:c>
    </x:row>
    <x:row r="9">
      <x:c r="B9" s="233" t="str">
        <x:v>Risk Category</x:v>
      </x:c>
      <x:c r="C9" s="234" t="str">
        <x:f>IF('01_INPUTS'!C19="","",'01_INPUTS'!C19)</x:f>
      </x:c>
      <x:c r="D9" s="140" t="str"/>
      <x:c r="E9" s="140" t="str">
        <x:v>01_INPUTS / CBC / ASCE 7-22</x:v>
      </x:c>
      <x:c r="F9" s="140" t="str">
        <x:f>IF(C9="","MISSING","OK")</x:f>
        <x:v>MISSING</x:v>
      </x:c>
      <x:c r="G9" s="140"/>
      <x:c r="H9" s="233" t="str">
        <x:v>h ≤ 60 ft</x:v>
      </x:c>
      <x:c r="I9" s="140" t="str">
        <x:f>IF(C12="","",C12&lt;=60)</x:f>
      </x:c>
      <x:c r="J9" s="140" t="str">
        <x:v>Low-rise height limit</x:v>
      </x:c>
      <x:c r="K9" s="140"/>
      <x:c r="L9" s="140"/>
      <x:c r="M9" s="140"/>
      <x:c r="N9" s="140" t="n">
        <x:v>50</x:v>
      </x:c>
      <x:c r="O9" s="140" t="n">
        <x:v>0.79</x:v>
      </x:c>
      <x:c r="P9" s="140" t="n">
        <x:v>1.09</x:v>
      </x:c>
      <x:c r="Q9" s="140" t="n">
        <x:v>1.28</x:v>
      </x:c>
      <x:c r="R9" s="140" t="str">
        <x:v>ASCE 7-22 Table 26.10-1</x:v>
      </x:c>
    </x:row>
    <x:row r="10">
      <x:c r="B10" s="233" t="str">
        <x:v>Wind Procedure</x:v>
      </x:c>
      <x:c r="C10" s="234" t="str">
        <x:f>IF('01_INPUTS'!C66="","",'01_INPUTS'!C66)</x:f>
      </x:c>
      <x:c r="D10" s="140" t="str"/>
      <x:c r="E10" s="140" t="str">
        <x:v>01_INPUTS</x:v>
      </x:c>
      <x:c r="F10" s="140" t="str">
        <x:f>IF(C10="","MISSING",IF(C10="Chapter 28 — Envelope (Low-Rise)","ACTIVE","FUTURE"))</x:f>
        <x:v>MISSING</x:v>
      </x:c>
      <x:c r="G10" s="140"/>
      <x:c r="H10" s="233" t="str">
        <x:v>h ≤ min(L,B)</x:v>
      </x:c>
      <x:c r="I10" s="140" t="str">
        <x:f>IF(OR(C12="",C13="",C14=""),"",C12&lt;=MIN(C13,C14))</x:f>
      </x:c>
      <x:c r="J10" s="140" t="str">
        <x:v>Low-rise geometry limit</x:v>
      </x:c>
      <x:c r="K10" s="140"/>
      <x:c r="L10" s="140"/>
      <x:c r="M10" s="140"/>
      <x:c r="N10" s="140" t="n">
        <x:v>60</x:v>
      </x:c>
      <x:c r="O10" s="140" t="n">
        <x:v>0.83</x:v>
      </x:c>
      <x:c r="P10" s="140" t="n">
        <x:v>1.13</x:v>
      </x:c>
      <x:c r="Q10" s="140" t="n">
        <x:v>1.32</x:v>
      </x:c>
      <x:c r="R10" s="140" t="str">
        <x:v>ASCE 7-22 Table 26.10-1</x:v>
      </x:c>
    </x:row>
    <x:row r="11">
      <x:c r="B11" s="233" t="str">
        <x:v>Basic Wind Speed V</x:v>
      </x:c>
      <x:c r="C11" s="235" t="str">
        <x:f>IF('01_INPUTS'!C44="","",'01_INPUTS'!C44)</x:f>
      </x:c>
      <x:c r="D11" s="140" t="str">
        <x:v>mph</x:v>
      </x:c>
      <x:c r="E11" s="140" t="str">
        <x:v>ASCE Hazard Tool / AHJ</x:v>
      </x:c>
      <x:c r="F11" s="140" t="str">
        <x:f>IF(C11="","MISSING","OK")</x:f>
        <x:v>MISSING</x:v>
      </x:c>
      <x:c r="G11" s="140"/>
      <x:c r="H11" s="233" t="str">
        <x:v>Roof type review</x:v>
      </x:c>
      <x:c r="I11" s="140" t="str">
        <x:f>IF(C20="","",IF(OR(C20="Flat",C20="Gable",C20="Hip"),TRUE,FALSE))</x:f>
      </x:c>
      <x:c r="J11" s="140" t="str">
        <x:v>Flat / gable / hip supported in this module</x:v>
      </x:c>
      <x:c r="K11" s="140"/>
      <x:c r="L11" s="140"/>
      <x:c r="M11" s="140"/>
      <x:c r="N11" s="140"/>
      <x:c r="O11" s="140"/>
      <x:c r="P11" s="140"/>
      <x:c r="Q11" s="140"/>
      <x:c r="R11" s="140"/>
    </x:row>
    <x:row r="12">
      <x:c r="B12" s="233" t="str">
        <x:v>Mean Roof Height h</x:v>
      </x:c>
      <x:c r="C12" s="236" t="str">
        <x:f>IF('01_INPUTS'!C28="","",'01_INPUTS'!C28)</x:f>
      </x:c>
      <x:c r="D12" s="140" t="str">
        <x:v>ft</x:v>
      </x:c>
      <x:c r="E12" s="140" t="str">
        <x:v>Project geometry</x:v>
      </x:c>
      <x:c r="F12" s="140" t="str">
        <x:f>IF(C12="","MISSING","OK")</x:f>
        <x:v>MISSING</x:v>
      </x:c>
      <x:c r="G12" s="140"/>
      <x:c r="H12" s="233" t="str">
        <x:v>Overall</x:v>
      </x:c>
      <x:c r="I12" s="140" t="str">
        <x:f>IF(COUNTA(I9:I11)&lt;3,"INCOMPLETE",IF(AND(I9=TRUE,I10=TRUE,I11=TRUE),"ELIGIBLE","REVIEW CH.27"))</x:f>
        <x:v>REVIEW CH.27</x:v>
      </x:c>
      <x:c r="J12" s="140" t="str">
        <x:v>Procedure gate</x:v>
      </x:c>
      <x:c r="K12" s="140"/>
      <x:c r="L12" s="140"/>
      <x:c r="M12" s="140"/>
      <x:c r="N12" s="231" t="str">
        <x:v>Reference</x:v>
      </x:c>
      <x:c r="O12" s="231" t="str">
        <x:v>Use</x:v>
      </x:c>
      <x:c r="P12" s="231" t="str">
        <x:v>Authority</x:v>
      </x:c>
      <x:c r="Q12" s="231" t="str">
        <x:v>Status</x:v>
      </x:c>
      <x:c r="R12" s="231" t="str">
        <x:v>URL</x:v>
      </x:c>
    </x:row>
    <x:row r="13">
      <x:c r="B13" s="233" t="str">
        <x:v>Building Length L</x:v>
      </x:c>
      <x:c r="C13" s="236" t="str">
        <x:f>IF('01_INPUTS'!C26="","",'01_INPUTS'!C26)</x:f>
      </x:c>
      <x:c r="D13" s="140" t="str">
        <x:v>ft</x:v>
      </x:c>
      <x:c r="E13" s="140" t="str">
        <x:v>Project geometry</x:v>
      </x:c>
      <x:c r="F13" s="140" t="str">
        <x:f>IF(C13="","MISSING","OK")</x:f>
        <x:v>MISSING</x:v>
      </x:c>
      <x:c r="G13" s="140"/>
      <x:c r="H13" s="140"/>
      <x:c r="I13" s="140"/>
      <x:c r="J13" s="140"/>
      <x:c r="K13" s="140"/>
      <x:c r="L13" s="140"/>
      <x:c r="M13" s="140"/>
      <x:c r="N13" s="140" t="str">
        <x:v>ASCE 7-22 Ch. 26</x:v>
      </x:c>
      <x:c r="O13" s="140" t="str">
        <x:v>Wind parameters / qh</x:v>
      </x:c>
      <x:c r="P13" s="140" t="str">
        <x:v>ASCE</x:v>
      </x:c>
      <x:c r="Q13" s="140" t="str">
        <x:v>Primary</x:v>
      </x:c>
      <x:c r="R13" s="140" t="str">
        <x:v>https://amplify.asce.org/content/standard/9780784415788/part/provisions/standard-chapter/s26</x:v>
      </x:c>
    </x:row>
    <x:row r="14">
      <x:c r="B14" s="233" t="str">
        <x:v>Building Width B</x:v>
      </x:c>
      <x:c r="C14" s="236" t="str">
        <x:f>IF('01_INPUTS'!C27="","",'01_INPUTS'!C27)</x:f>
      </x:c>
      <x:c r="D14" s="140" t="str">
        <x:v>ft</x:v>
      </x:c>
      <x:c r="E14" s="140" t="str">
        <x:v>Project geometry</x:v>
      </x:c>
      <x:c r="F14" s="140" t="str">
        <x:f>IF(C14="","MISSING","OK")</x:f>
        <x:v>MISSING</x:v>
      </x:c>
      <x:c r="G14" s="140"/>
      <x:c r="H14" s="140"/>
      <x:c r="I14" s="140"/>
      <x:c r="J14" s="140"/>
      <x:c r="K14" s="140"/>
      <x:c r="L14" s="140"/>
      <x:c r="M14" s="140"/>
      <x:c r="N14" s="140" t="str">
        <x:v>ASCE Hazard Tool</x:v>
      </x:c>
      <x:c r="O14" s="140" t="str">
        <x:v>Basic wind speed V</x:v>
      </x:c>
      <x:c r="P14" s="140" t="str">
        <x:v>ASCE</x:v>
      </x:c>
      <x:c r="Q14" s="140" t="str">
        <x:v>Primary hazard source</x:v>
      </x:c>
      <x:c r="R14" s="140" t="str">
        <x:v>https://www.asce.org/publications-and-news/asce-hazard-tool</x:v>
      </x:c>
    </x:row>
    <x:row r="15">
      <x:c r="B15" s="233" t="str">
        <x:v>Exposure Category</x:v>
      </x:c>
      <x:c r="C15" s="235" t="str">
        <x:f>IF('01_INPUTS'!C45="","",'01_INPUTS'!C45)</x:f>
      </x:c>
      <x:c r="D15" s="140" t="str"/>
      <x:c r="E15" s="140" t="str">
        <x:v>ASCE 7-22 §26.7 / engineer confirmation</x:v>
      </x:c>
      <x:c r="F15" s="140" t="str">
        <x:f>IF(C15="","MISSING","OK")</x:f>
        <x:v>MISSING</x:v>
      </x:c>
      <x:c r="G15" s="140"/>
      <x:c r="H15" s="140"/>
      <x:c r="I15" s="140"/>
      <x:c r="J15" s="140"/>
      <x:c r="K15" s="140"/>
      <x:c r="L15" s="140"/>
      <x:c r="M15" s="140"/>
      <x:c r="N15" s="140" t="str">
        <x:v>FEMA/NIST 2023 guide</x:v>
      </x:c>
      <x:c r="O15" s="140" t="str">
        <x:v>Equation / parameter cross-check</x:v>
      </x:c>
      <x:c r="P15" s="140" t="str">
        <x:v>FEMA / NIST</x:v>
      </x:c>
      <x:c r="Q15" s="140" t="str">
        <x:v>Secondary QA</x:v>
      </x:c>
      <x:c r="R15" s="140" t="str">
        <x:v>https://www.fema.gov/sites/default/files/documents/fema_asce-7-22-tornado-loads-design-guide_012023.pdf</x:v>
      </x:c>
    </x:row>
    <x:row r="16">
      <x:c r="B16" s="233" t="str">
        <x:v>Kzt</x:v>
      </x:c>
      <x:c r="C16" s="235" t="str">
        <x:f>IF('01_INPUTS'!C46="","",'01_INPUTS'!C46)</x:f>
      </x:c>
      <x:c r="D16" s="140" t="str"/>
      <x:c r="E16" s="140" t="str">
        <x:v>ASCE 7-22 §26.8</x:v>
      </x:c>
      <x:c r="F16" s="140" t="str">
        <x:f>IF(C16="","MISSING","OK")</x:f>
        <x:v>MISSING</x:v>
      </x:c>
      <x:c r="G16" s="140"/>
      <x:c r="H16" s="140"/>
      <x:c r="I16" s="140"/>
      <x:c r="J16" s="140"/>
      <x:c r="K16" s="140"/>
      <x:c r="L16" s="140"/>
      <x:c r="M16" s="140"/>
      <x:c r="N16" s="140" t="str">
        <x:v>ICC wind changes presentation</x:v>
      </x:c>
      <x:c r="O16" s="140" t="str">
        <x:v>Kz / Kd relocation cross-check</x:v>
      </x:c>
      <x:c r="P16" s="140" t="str">
        <x:v>ICC / S.K. Ghosh</x:v>
      </x:c>
      <x:c r="Q16" s="140" t="str">
        <x:v>Secondary QA</x:v>
      </x:c>
      <x:c r="R16" s="140" t="str">
        <x:v>https://www.iccsafe.org/wp-content/uploads/Ever-changing-Structural-Provisions-of-our-Building-Codes-Wind.pdf</x:v>
      </x:c>
    </x:row>
    <x:row r="17">
      <x:c r="B17" s="233" t="str">
        <x:v>Ke</x:v>
      </x:c>
      <x:c r="C17" s="235" t="str">
        <x:f>IF('01_INPUTS'!C70="","",'01_INPUTS'!C70)</x:f>
      </x:c>
      <x:c r="D17" s="140" t="str"/>
      <x:c r="E17" s="140" t="str">
        <x:v>ASCE 7-22 §26.9</x:v>
      </x:c>
      <x:c r="F17" s="140" t="str">
        <x:f>IF(C17="","MISSING","OK")</x:f>
        <x:v>MISSING</x:v>
      </x:c>
      <x:c r="G17" s="140"/>
      <x:c r="H17" s="140"/>
      <x:c r="I17" s="140"/>
      <x:c r="J17" s="140"/>
      <x:c r="K17" s="140"/>
      <x:c r="L17" s="140"/>
      <x:c r="M17" s="140"/>
      <x:c r="N17" s="140"/>
      <x:c r="O17" s="140"/>
      <x:c r="P17" s="140"/>
      <x:c r="Q17" s="140"/>
      <x:c r="R17" s="140"/>
    </x:row>
    <x:row r="18">
      <x:c r="B18" s="233" t="str">
        <x:v>Kd</x:v>
      </x:c>
      <x:c r="C18" s="235" t="str">
        <x:f>IF(C10="","",IF(C10="Chapter 28 — Envelope (Low-Rise)",0.85,IF('01_INPUTS'!C47="","",'01_INPUTS'!C47)))</x:f>
      </x:c>
      <x:c r="D18" s="140" t="str"/>
      <x:c r="E18" s="140" t="str">
        <x:v>ASCE 7-22 Table 26.6-1 — buildings</x:v>
      </x:c>
      <x:c r="F18" s="140" t="str">
        <x:f>IF(C18="","MISSING","OK")</x:f>
        <x:v>MISSING</x:v>
      </x:c>
      <x:c r="G18" s="140"/>
      <x:c r="H18" s="140"/>
      <x:c r="I18" s="140"/>
      <x:c r="J18" s="140"/>
      <x:c r="K18" s="140"/>
      <x:c r="L18" s="140"/>
      <x:c r="M18" s="140"/>
      <x:c r="N18" s="140"/>
      <x:c r="O18" s="140"/>
      <x:c r="P18" s="140"/>
      <x:c r="Q18" s="140"/>
      <x:c r="R18" s="140"/>
    </x:row>
    <x:row r="19">
      <x:c r="B19" s="233" t="str">
        <x:v>Enclosure Classification</x:v>
      </x:c>
      <x:c r="C19" s="234" t="str">
        <x:f>IF('01_INPUTS'!C67="","",'01_INPUTS'!C67)</x:f>
      </x:c>
      <x:c r="D19" s="140" t="str"/>
      <x:c r="E19" s="140" t="str">
        <x:v>ASCE 7-22 §§26.12–26.13</x:v>
      </x:c>
      <x:c r="F19" s="140" t="str">
        <x:f>IF(C19="","MISSING","OK")</x:f>
        <x:v>MISSING</x:v>
      </x:c>
      <x:c r="G19" s="140"/>
      <x:c r="H19" s="140"/>
      <x:c r="I19" s="140"/>
      <x:c r="J19" s="140"/>
      <x:c r="K19" s="140"/>
      <x:c r="L19" s="140"/>
      <x:c r="M19" s="140"/>
      <x:c r="N19" s="140"/>
      <x:c r="O19" s="140"/>
      <x:c r="P19" s="140"/>
      <x:c r="Q19" s="140"/>
      <x:c r="R19" s="140"/>
    </x:row>
    <x:row r="20">
      <x:c r="B20" s="233" t="str">
        <x:v>Roof Type</x:v>
      </x:c>
      <x:c r="C20" s="234" t="str">
        <x:f>IF('01_INPUTS'!C68="","",'01_INPUTS'!C68)</x:f>
      </x:c>
      <x:c r="D20" s="140" t="str"/>
      <x:c r="E20" s="140" t="str">
        <x:v>Project geometry</x:v>
      </x:c>
      <x:c r="F20" s="140" t="str">
        <x:f>IF(C20="","MISSING","OK")</x:f>
        <x:v>MISSING</x:v>
      </x:c>
      <x:c r="G20" s="140"/>
      <x:c r="H20" s="140"/>
      <x:c r="I20" s="140"/>
      <x:c r="J20" s="140"/>
      <x:c r="K20" s="140"/>
      <x:c r="L20" s="140"/>
      <x:c r="M20" s="140"/>
      <x:c r="N20" s="140"/>
      <x:c r="O20" s="140"/>
      <x:c r="P20" s="140"/>
      <x:c r="Q20" s="140"/>
      <x:c r="R20" s="140"/>
    </x:row>
    <x:row r="21">
      <x:c r="B21" s="233" t="str">
        <x:v>Roof Slope</x:v>
      </x:c>
      <x:c r="C21" s="237" t="str">
        <x:f>IF('01_INPUTS'!C69="","",'01_INPUTS'!C69)</x:f>
      </x:c>
      <x:c r="D21" s="140" t="str">
        <x:v>deg</x:v>
      </x:c>
      <x:c r="E21" s="140" t="str">
        <x:v>Project geometry</x:v>
      </x:c>
      <x:c r="F21" s="140" t="str">
        <x:f>IF(C21="","MISSING","OK")</x:f>
        <x:v>MISSING</x:v>
      </x:c>
      <x:c r="G21" s="140"/>
      <x:c r="H21" s="140"/>
      <x:c r="I21" s="140"/>
      <x:c r="J21" s="140"/>
      <x:c r="K21" s="140"/>
      <x:c r="L21" s="140"/>
      <x:c r="M21" s="140"/>
      <x:c r="N21" s="140"/>
      <x:c r="O21" s="140"/>
      <x:c r="P21" s="140"/>
      <x:c r="Q21" s="140"/>
      <x:c r="R21" s="140"/>
    </x:row>
    <x:row r="22">
      <x:c r="B22" s="140"/>
      <x:c r="C22" s="140"/>
      <x:c r="D22" s="140"/>
      <x:c r="E22" s="140"/>
      <x:c r="F22" s="140"/>
      <x:c r="G22" s="140"/>
      <x:c r="H22" s="140"/>
      <x:c r="I22" s="140"/>
      <x:c r="J22" s="140"/>
      <x:c r="K22" s="140"/>
      <x:c r="L22" s="140"/>
      <x:c r="M22" s="140"/>
      <x:c r="N22" s="140"/>
      <x:c r="O22" s="140"/>
      <x:c r="P22" s="140"/>
      <x:c r="Q22" s="140"/>
      <x:c r="R22" s="140"/>
    </x:row>
    <x:row r="23">
      <x:c r="B23" s="140"/>
      <x:c r="C23" s="140"/>
      <x:c r="D23" s="140"/>
      <x:c r="E23" s="140"/>
      <x:c r="F23" s="140"/>
      <x:c r="G23" s="140"/>
      <x:c r="H23" s="140"/>
      <x:c r="I23" s="140"/>
      <x:c r="J23" s="140"/>
      <x:c r="K23" s="140"/>
      <x:c r="L23" s="140"/>
      <x:c r="M23" s="140"/>
      <x:c r="N23" s="140"/>
      <x:c r="O23" s="140"/>
      <x:c r="P23" s="140"/>
      <x:c r="Q23" s="140"/>
      <x:c r="R23" s="140"/>
    </x:row>
    <x:row r="24">
      <x:c r="B24" s="206" t="str">
        <x:v>VELOCITY PRESSURE — ASCE 7-22 §26.10</x:v>
      </x:c>
      <x:c r="C24" s="206"/>
      <x:c r="D24" s="206"/>
      <x:c r="E24" s="206"/>
      <x:c r="F24" s="206"/>
      <x:c r="G24" s="206"/>
      <x:c r="H24" s="206" t="str">
        <x:v>INTERNAL PRESSURE</x:v>
      </x:c>
      <x:c r="I24" s="206"/>
      <x:c r="J24" s="206"/>
      <x:c r="K24" s="140"/>
      <x:c r="L24" s="140"/>
      <x:c r="M24" s="140"/>
      <x:c r="N24" s="140"/>
      <x:c r="O24" s="140"/>
      <x:c r="P24" s="140"/>
      <x:c r="Q24" s="140"/>
      <x:c r="R24" s="140"/>
    </x:row>
    <x:row r="25">
      <x:c r="B25" s="231" t="str">
        <x:v>Item</x:v>
      </x:c>
      <x:c r="C25" s="231" t="str">
        <x:v>Equation / Basis</x:v>
      </x:c>
      <x:c r="D25" s="231" t="str">
        <x:v>Primary Result</x:v>
      </x:c>
      <x:c r="E25" s="231" t="str">
        <x:v>Independent Cross-Check</x:v>
      </x:c>
      <x:c r="F25" s="231" t="str">
        <x:v>Status</x:v>
      </x:c>
      <x:c r="G25" s="140"/>
      <x:c r="H25" s="231" t="str">
        <x:v>Enclosure</x:v>
      </x:c>
      <x:c r="I25" s="231" t="str">
        <x:v>GCpi (+)</x:v>
      </x:c>
      <x:c r="J25" s="231" t="str">
        <x:v>GCpi (−)</x:v>
      </x:c>
      <x:c r="K25" s="140"/>
      <x:c r="L25" s="140"/>
      <x:c r="M25" s="140"/>
      <x:c r="N25" s="140"/>
      <x:c r="O25" s="140"/>
      <x:c r="P25" s="140"/>
      <x:c r="Q25" s="140"/>
      <x:c r="R25" s="140"/>
    </x:row>
    <x:row r="26">
      <x:c r="B26" s="140" t="str">
        <x:v>Kh</x:v>
      </x:c>
      <x:c r="C26" s="239" t="str">
        <x:f>IF(OR(C12="",C15=""),"",IF(C15="B",IF(C12&lt;30,0.70,IF(C12&lt;=40,0.69+(C12-30)*(0.74-0.69)/10,IF(C12&lt;=50,0.74+(C12-40)*(0.79-0.74)/10,IF(C12&lt;=60,0.79+(C12-50)*(0.83-0.79)/10,"")))),IF(C15="C",IF(C12&lt;=15,0.85,IF(C12&lt;=20,0.85+(C12-15)*(0.90-0.85)/5,IF(C12&lt;=25,0.90+(C12-20)*(0.94-0.90)/5,IF(C12&lt;=30,0.94+(C12-25)*(0.98-0.94)/5,IF(C12&lt;=40,0.98+(C12-30)*(1.04-0.98)/10,IF(C12&lt;=50,1.04+(C12-40)*(1.09-1.04)/10,IF(C12&lt;=60,1.09+(C12-50)*(1.13-1.09)/10,""))))))),IF(C15="D",IF(C12&lt;=15,1.04,IF(C12&lt;=20,1.04+(C12-15)*(1.09-1.04)/5,IF(C12&lt;=25,1.09+(C12-20)*(1.13-1.09)/5,IF(C12&lt;=30,1.13+(C12-25)*(1.17-1.13)/5,IF(C12&lt;=40,1.17+(C12-30)*(1.23-1.17)/10,IF(C12&lt;=50,1.23+(C12-40)*(1.28-1.23)/10,IF(C12&lt;=60,1.28+(C12-50)*(1.32-1.28)/10,""))))))),""))))</x:f>
      </x:c>
      <x:c r="D26" s="239" t="str">
        <x:f>IF(OR(C12="",C15=""),"",IF(C15="B",IF(C12&lt;30,0.70,IF(C12&lt;=40,0.69+(C12-30)*(0.74-0.69)/10,IF(C12&lt;=50,0.74+(C12-40)*(0.79-0.74)/10,IF(C12&lt;=60,0.79+(C12-50)*(0.83-0.79)/10,"")))),IF(C15="C",IF(C12&lt;=15,0.85,IF(C12&lt;=20,0.85+(C12-15)*(0.90-0.85)/5,IF(C12&lt;=25,0.90+(C12-20)*(0.94-0.90)/5,IF(C12&lt;=30,0.94+(C12-25)*(0.98-0.94)/5,IF(C12&lt;=40,0.98+(C12-30)*(1.04-0.98)/10,IF(C12&lt;=50,1.04+(C12-40)*(1.09-1.04)/10,IF(C12&lt;=60,1.09+(C12-50)*(1.13-1.09)/10,""))))))),IF(C15="D",IF(C12&lt;=15,1.04,IF(C12&lt;=20,1.04+(C12-15)*(1.09-1.04)/5,IF(C12&lt;=25,1.09+(C12-20)*(1.13-1.09)/5,IF(C12&lt;=30,1.13+(C12-25)*(1.17-1.13)/5,IF(C12&lt;=40,1.17+(C12-30)*(1.23-1.17)/10,IF(C12&lt;=50,1.23+(C12-40)*(1.28-1.23)/10,IF(C12&lt;=60,1.28+(C12-50)*(1.32-1.28)/10,""))))))),""))))</x:f>
      </x:c>
      <x:c r="E26" s="140" t="str">
        <x:v>Table/formula path</x:v>
      </x:c>
      <x:c r="F26" s="140"/>
      <x:c r="G26" s="140"/>
      <x:c r="H26" s="140" t="str">
        <x:f>IF(C19="","",C19)</x:f>
      </x:c>
      <x:c r="I26" s="249" t="str">
        <x:f>IF(H26="","",IF(H26="Enclosed",0.18,IF(H26="Partially Enclosed",0.55,IF(H26="Partially Open",0.18,IF(H26="Open",0,"")))))</x:f>
      </x:c>
      <x:c r="J26" s="249" t="str">
        <x:f>IF(I26="","",-I26)</x:f>
      </x:c>
      <x:c r="K26" s="140"/>
      <x:c r="L26" s="140"/>
      <x:c r="M26" s="140"/>
      <x:c r="N26" s="140"/>
      <x:c r="O26" s="140"/>
      <x:c r="P26" s="140"/>
      <x:c r="Q26" s="140"/>
      <x:c r="R26" s="140"/>
    </x:row>
    <x:row r="27">
      <x:c r="B27" s="140" t="str">
        <x:v>Base dynamic pressure q0</x:v>
      </x:c>
      <x:c r="C27" s="239" t="str">
        <x:f>IF(C11="","",0.00256*C11^2)</x:f>
      </x:c>
      <x:c r="D27" s="239" t="str">
        <x:f>IF(C11="","",(0.5*0.002378)*(88/60)^2*C11^2)</x:f>
      </x:c>
      <x:c r="E27" s="140" t="str">
        <x:v>Bernoulli conversion path</x:v>
      </x:c>
      <x:c r="F27" s="140"/>
      <x:c r="G27" s="140"/>
      <x:c r="H27" s="140"/>
      <x:c r="I27" s="140"/>
      <x:c r="J27" s="140"/>
      <x:c r="K27" s="140"/>
      <x:c r="L27" s="140"/>
      <x:c r="M27" s="140"/>
      <x:c r="N27" s="140"/>
      <x:c r="O27" s="140"/>
      <x:c r="P27" s="140"/>
      <x:c r="Q27" s="140"/>
      <x:c r="R27" s="140"/>
    </x:row>
    <x:row r="28">
      <x:c r="B28" s="140" t="str">
        <x:v>Velocity pressure qh</x:v>
      </x:c>
      <x:c r="C28" s="239" t="str">
        <x:f>IF(OR(C26="",C16="",C17="",C11=""),"",0.00256*C26*C16*C17*C11^2)</x:f>
      </x:c>
      <x:c r="D28" s="239" t="str">
        <x:f>IF(OR(C27="",C26="",C16="",C17=""),"",C27*C26*C16*C17)</x:f>
      </x:c>
      <x:c r="E28" s="140" t="str">
        <x:v>Eq. 26.10-1 vs factored q0</x:v>
      </x:c>
      <x:c r="F28" s="140"/>
      <x:c r="G28" s="140"/>
      <x:c r="H28" s="242" t="str">
        <x:v>Classification</x:v>
      </x:c>
      <x:c r="I28" s="242" t="str">
        <x:v>GCpi magnitude</x:v>
      </x:c>
      <x:c r="J28" s="242" t="str">
        <x:v>ASCE 7-22 Table 26.13-1</x:v>
      </x:c>
      <x:c r="K28" s="140"/>
      <x:c r="L28" s="140"/>
      <x:c r="M28" s="140"/>
      <x:c r="N28" s="140"/>
      <x:c r="O28" s="140"/>
      <x:c r="P28" s="140"/>
      <x:c r="Q28" s="140"/>
      <x:c r="R28" s="140"/>
    </x:row>
    <x:row r="29">
      <x:c r="B29" s="140" t="str">
        <x:v>Absolute difference</x:v>
      </x:c>
      <x:c r="C29" s="239" t="str">
        <x:f>IF(OR(C28="",D28=""),"",ABS(C28-D28))</x:f>
      </x:c>
      <x:c r="D29" s="239"/>
      <x:c r="E29" s="140" t="str">
        <x:v>Numerical comparison</x:v>
      </x:c>
      <x:c r="F29" s="140"/>
      <x:c r="G29" s="140"/>
      <x:c r="H29" s="140" t="str">
        <x:v>Enclosed</x:v>
      </x:c>
      <x:c r="I29" s="140" t="n">
        <x:v>0.18</x:v>
      </x:c>
      <x:c r="J29" s="140" t="str">
        <x:v>Public ASCE table</x:v>
      </x:c>
      <x:c r="K29" s="140"/>
      <x:c r="L29" s="140"/>
      <x:c r="M29" s="140"/>
      <x:c r="N29" s="140"/>
      <x:c r="O29" s="140"/>
      <x:c r="P29" s="140"/>
      <x:c r="Q29" s="140"/>
      <x:c r="R29" s="140"/>
    </x:row>
    <x:row r="30">
      <x:c r="B30" s="140" t="str">
        <x:v>Velocity-pressure QA</x:v>
      </x:c>
      <x:c r="C30" s="140" t="str">
        <x:f>IF(C29="","INCOMPLETE",IF(C29&lt;=0.001,"PASS","CHECK"))</x:f>
        <x:v>INCOMPLETE</x:v>
      </x:c>
      <x:c r="D30" s="140"/>
      <x:c r="E30" s="140" t="str">
        <x:f>C30</x:f>
        <x:v>INCOMPLETE</x:v>
      </x:c>
      <x:c r="F30" s="140"/>
      <x:c r="G30" s="140"/>
      <x:c r="H30" s="140" t="str">
        <x:v>Partially Enclosed</x:v>
      </x:c>
      <x:c r="I30" s="140" t="n">
        <x:v>0.55</x:v>
      </x:c>
      <x:c r="J30" s="140" t="str">
        <x:v>Public ASCE table</x:v>
      </x:c>
      <x:c r="K30" s="140"/>
      <x:c r="L30" s="140"/>
      <x:c r="M30" s="140"/>
      <x:c r="N30" s="140"/>
      <x:c r="O30" s="140"/>
      <x:c r="P30" s="140"/>
      <x:c r="Q30" s="140"/>
      <x:c r="R30" s="140"/>
    </x:row>
    <x:row r="31">
      <x:c r="B31" s="140"/>
      <x:c r="C31" s="140"/>
      <x:c r="D31" s="140"/>
      <x:c r="E31" s="140"/>
      <x:c r="F31" s="140"/>
      <x:c r="G31" s="140"/>
      <x:c r="H31" s="140" t="str">
        <x:v>Partially Open</x:v>
      </x:c>
      <x:c r="I31" s="140" t="n">
        <x:v>0.18</x:v>
      </x:c>
      <x:c r="J31" s="140" t="str">
        <x:v>Public ASCE table</x:v>
      </x:c>
      <x:c r="K31" s="140"/>
      <x:c r="L31" s="140"/>
      <x:c r="M31" s="140"/>
      <x:c r="N31" s="140"/>
      <x:c r="O31" s="140"/>
      <x:c r="P31" s="140"/>
      <x:c r="Q31" s="140"/>
      <x:c r="R31" s="140"/>
    </x:row>
    <x:row r="32">
      <x:c r="B32" s="140"/>
      <x:c r="C32" s="140"/>
      <x:c r="D32" s="140"/>
      <x:c r="E32" s="140"/>
      <x:c r="F32" s="140"/>
      <x:c r="G32" s="140"/>
      <x:c r="H32" s="140" t="str">
        <x:v>Open</x:v>
      </x:c>
      <x:c r="I32" s="140" t="n">
        <x:v>0</x:v>
      </x:c>
      <x:c r="J32" s="140" t="str">
        <x:v>Public ASCE table</x:v>
      </x:c>
      <x:c r="K32" s="140"/>
      <x:c r="L32" s="140"/>
      <x:c r="M32" s="140"/>
      <x:c r="N32" s="140"/>
      <x:c r="O32" s="140"/>
      <x:c r="P32" s="140"/>
      <x:c r="Q32" s="140"/>
      <x:c r="R32" s="140"/>
    </x:row>
    <x:row r="33">
      <x:c r="B33" s="140"/>
      <x:c r="C33" s="140"/>
      <x:c r="D33" s="140"/>
      <x:c r="E33" s="140"/>
      <x:c r="F33" s="140"/>
      <x:c r="G33" s="140"/>
      <x:c r="H33" s="140"/>
      <x:c r="I33" s="140"/>
      <x:c r="J33" s="140"/>
      <x:c r="K33" s="140"/>
      <x:c r="L33" s="140"/>
      <x:c r="M33" s="140"/>
      <x:c r="N33" s="140"/>
      <x:c r="O33" s="140"/>
      <x:c r="P33" s="140"/>
      <x:c r="Q33" s="140"/>
      <x:c r="R33" s="140"/>
    </x:row>
    <x:row r="34">
      <x:c r="B34" s="206" t="str">
        <x:v>MWFRS — CHAPTER 28 ENVELOPE PRESSURE ENGINE</x:v>
      </x:c>
      <x:c r="C34" s="206"/>
      <x:c r="D34" s="206"/>
      <x:c r="E34" s="206"/>
      <x:c r="F34" s="206"/>
      <x:c r="G34" s="206"/>
      <x:c r="H34" s="206"/>
      <x:c r="I34" s="206"/>
      <x:c r="J34" s="206"/>
      <x:c r="K34" s="140"/>
      <x:c r="L34" s="140"/>
      <x:c r="M34" s="140"/>
      <x:c r="N34" s="140"/>
      <x:c r="O34" s="140"/>
      <x:c r="P34" s="140"/>
      <x:c r="Q34" s="140"/>
      <x:c r="R34" s="140"/>
    </x:row>
    <x:row r="35">
      <x:c r="B35" s="244" t="str">
        <x:v>Enter the applicable (GCpf) value from ASCE 7-22 Figure 28.3-1 / licensed source for each active zone. The workbook computes both internal-pressure signs and the governing absolute surface pressure. External coefficient selection remains review-controlled because it depends on building ratios, roof slope, load case, and zone.</x:v>
      </x:c>
      <x:c r="C35" s="244"/>
      <x:c r="D35" s="244"/>
      <x:c r="E35" s="244"/>
      <x:c r="F35" s="244"/>
      <x:c r="G35" s="244"/>
      <x:c r="H35" s="244"/>
      <x:c r="I35" s="244"/>
      <x:c r="J35" s="244"/>
      <x:c r="K35" s="140"/>
      <x:c r="L35" s="140"/>
      <x:c r="M35" s="140"/>
      <x:c r="N35" s="140"/>
      <x:c r="O35" s="140"/>
      <x:c r="P35" s="140"/>
      <x:c r="Q35" s="140"/>
      <x:c r="R35" s="140"/>
    </x:row>
    <x:row r="36">
      <x:c r="B36" s="140"/>
      <x:c r="C36" s="140"/>
      <x:c r="D36" s="140"/>
      <x:c r="E36" s="140"/>
      <x:c r="F36" s="140"/>
      <x:c r="G36" s="140"/>
      <x:c r="H36" s="140"/>
      <x:c r="I36" s="140"/>
      <x:c r="J36" s="140"/>
      <x:c r="K36" s="140"/>
      <x:c r="L36" s="140"/>
      <x:c r="M36" s="140"/>
      <x:c r="N36" s="140"/>
      <x:c r="O36" s="140"/>
      <x:c r="P36" s="140"/>
      <x:c r="Q36" s="140"/>
      <x:c r="R36" s="140"/>
    </x:row>
    <x:row r="37">
      <x:c r="B37" s="231" t="str">
        <x:v>Zone / Case</x:v>
      </x:c>
      <x:c r="C37" s="231" t="str">
        <x:v>Surface / Description</x:v>
      </x:c>
      <x:c r="D37" s="231" t="str">
        <x:v>GCpf</x:v>
      </x:c>
      <x:c r="E37" s="231" t="str">
        <x:v>p with +GCpi</x:v>
      </x:c>
      <x:c r="F37" s="231" t="str">
        <x:v>p with −GCpi</x:v>
      </x:c>
      <x:c r="G37" s="231" t="str">
        <x:v>Governing |p|</x:v>
      </x:c>
      <x:c r="H37" s="231" t="str">
        <x:v>Direct Cross-Check</x:v>
      </x:c>
      <x:c r="I37" s="231" t="str">
        <x:v>Abs Diff</x:v>
      </x:c>
      <x:c r="J37" s="231" t="str">
        <x:v>Status</x:v>
      </x:c>
      <x:c r="K37" s="140"/>
      <x:c r="L37" s="140"/>
      <x:c r="M37" s="140"/>
      <x:c r="N37" s="140"/>
      <x:c r="O37" s="140"/>
      <x:c r="P37" s="140"/>
      <x:c r="Q37" s="140"/>
      <x:c r="R37" s="140"/>
    </x:row>
    <x:row r="38">
      <x:c r="B38" s="140" t="str">
        <x:v>1</x:v>
      </x:c>
      <x:c r="C38" s="140" t="str">
        <x:v>Load-case zone</x:v>
      </x:c>
      <x:c r="D38" s="248"/>
      <x:c r="E38" s="249" t="str">
        <x:f>IF(OR($C$28="",D38="",$I$26=""),"",$C$28*$C$18*(D38-$I$26))</x:f>
      </x:c>
      <x:c r="F38" s="249" t="str">
        <x:f>IF(OR($C$28="",D38="",$J$26=""),"",$C$28*$C$18*(D38-$J$26))</x:f>
      </x:c>
      <x:c r="G38" s="249" t="str">
        <x:f>IF(OR(E38="",F38=""),"",MAX(ABS(E38),ABS(F38)))</x:f>
      </x:c>
      <x:c r="H38" s="249" t="str">
        <x:f>IF(OR($C$28="",D38="",$I$26=""),"",($C$28*$C$18*D38)-($C$28*$C$18*$I$26))</x:f>
      </x:c>
      <x:c r="I38" s="249" t="str">
        <x:f>IF(OR(E38="",H38=""),"",ABS(E38-H38))</x:f>
      </x:c>
      <x:c r="J38" s="140" t="str">
        <x:f>IF(D38="","PENDING",IF(I38&lt;=0.001,"PASS","CHECK"))</x:f>
        <x:v>PENDING</x:v>
      </x:c>
      <x:c r="K38" s="140"/>
      <x:c r="L38" s="140"/>
      <x:c r="M38" s="140"/>
      <x:c r="N38" s="140"/>
      <x:c r="O38" s="140"/>
      <x:c r="P38" s="140"/>
      <x:c r="Q38" s="140"/>
      <x:c r="R38" s="140"/>
    </x:row>
    <x:row r="39">
      <x:c r="B39" s="140" t="str">
        <x:v>2</x:v>
      </x:c>
      <x:c r="C39" s="140" t="str">
        <x:v>Load-case zone</x:v>
      </x:c>
      <x:c r="D39" s="248"/>
      <x:c r="E39" s="249" t="str">
        <x:f>IF(OR($C$28="",D39="",$I$26=""),"",$C$28*$C$18*(D39-$I$26))</x:f>
      </x:c>
      <x:c r="F39" s="249" t="str">
        <x:f>IF(OR($C$28="",D39="",$J$26=""),"",$C$28*$C$18*(D39-$J$26))</x:f>
      </x:c>
      <x:c r="G39" s="249" t="str">
        <x:f>IF(OR(E39="",F39=""),"",MAX(ABS(E39),ABS(F39)))</x:f>
      </x:c>
      <x:c r="H39" s="249" t="str">
        <x:f>IF(OR($C$28="",D39="",$I$26=""),"",($C$28*$C$18*D39)-($C$28*$C$18*$I$26))</x:f>
      </x:c>
      <x:c r="I39" s="249" t="str">
        <x:f>IF(OR(E39="",H39=""),"",ABS(E39-H39))</x:f>
      </x:c>
      <x:c r="J39" s="140" t="str">
        <x:f>IF(D39="","PENDING",IF(I39&lt;=0.001,"PASS","CHECK"))</x:f>
        <x:v>PENDING</x:v>
      </x:c>
      <x:c r="K39" s="140"/>
      <x:c r="L39" s="140"/>
      <x:c r="M39" s="140"/>
      <x:c r="N39" s="140"/>
      <x:c r="O39" s="140"/>
      <x:c r="P39" s="140"/>
      <x:c r="Q39" s="140"/>
      <x:c r="R39" s="140"/>
    </x:row>
    <x:row r="40">
      <x:c r="B40" s="140" t="str">
        <x:v>3</x:v>
      </x:c>
      <x:c r="C40" s="140" t="str">
        <x:v>Load-case zone</x:v>
      </x:c>
      <x:c r="D40" s="248"/>
      <x:c r="E40" s="249" t="str">
        <x:f>IF(OR($C$28="",D40="",$I$26=""),"",$C$28*$C$18*(D40-$I$26))</x:f>
      </x:c>
      <x:c r="F40" s="249" t="str">
        <x:f>IF(OR($C$28="",D40="",$J$26=""),"",$C$28*$C$18*(D40-$J$26))</x:f>
      </x:c>
      <x:c r="G40" s="249" t="str">
        <x:f>IF(OR(E40="",F40=""),"",MAX(ABS(E40),ABS(F40)))</x:f>
      </x:c>
      <x:c r="H40" s="249" t="str">
        <x:f>IF(OR($C$28="",D40="",$I$26=""),"",($C$28*$C$18*D40)-($C$28*$C$18*$I$26))</x:f>
      </x:c>
      <x:c r="I40" s="249" t="str">
        <x:f>IF(OR(E40="",H40=""),"",ABS(E40-H40))</x:f>
      </x:c>
      <x:c r="J40" s="140" t="str">
        <x:f>IF(D40="","PENDING",IF(I40&lt;=0.001,"PASS","CHECK"))</x:f>
        <x:v>PENDING</x:v>
      </x:c>
      <x:c r="K40" s="140"/>
      <x:c r="L40" s="140"/>
      <x:c r="M40" s="140"/>
      <x:c r="N40" s="140"/>
      <x:c r="O40" s="140"/>
      <x:c r="P40" s="140"/>
      <x:c r="Q40" s="140"/>
      <x:c r="R40" s="140"/>
    </x:row>
    <x:row r="41">
      <x:c r="B41" s="140" t="str">
        <x:v>4</x:v>
      </x:c>
      <x:c r="C41" s="140" t="str">
        <x:v>Load-case zone</x:v>
      </x:c>
      <x:c r="D41" s="248"/>
      <x:c r="E41" s="249" t="str">
        <x:f>IF(OR($C$28="",D41="",$I$26=""),"",$C$28*$C$18*(D41-$I$26))</x:f>
      </x:c>
      <x:c r="F41" s="249" t="str">
        <x:f>IF(OR($C$28="",D41="",$J$26=""),"",$C$28*$C$18*(D41-$J$26))</x:f>
      </x:c>
      <x:c r="G41" s="249" t="str">
        <x:f>IF(OR(E41="",F41=""),"",MAX(ABS(E41),ABS(F41)))</x:f>
      </x:c>
      <x:c r="H41" s="249" t="str">
        <x:f>IF(OR($C$28="",D41="",$I$26=""),"",($C$28*$C$18*D41)-($C$28*$C$18*$I$26))</x:f>
      </x:c>
      <x:c r="I41" s="249" t="str">
        <x:f>IF(OR(E41="",H41=""),"",ABS(E41-H41))</x:f>
      </x:c>
      <x:c r="J41" s="140" t="str">
        <x:f>IF(D41="","PENDING",IF(I41&lt;=0.001,"PASS","CHECK"))</x:f>
        <x:v>PENDING</x:v>
      </x:c>
      <x:c r="K41" s="140"/>
      <x:c r="L41" s="140"/>
      <x:c r="M41" s="140"/>
      <x:c r="N41" s="140"/>
      <x:c r="O41" s="140"/>
      <x:c r="P41" s="140"/>
      <x:c r="Q41" s="140"/>
      <x:c r="R41" s="140"/>
    </x:row>
    <x:row r="42">
      <x:c r="B42" s="140" t="str">
        <x:v>1E</x:v>
      </x:c>
      <x:c r="C42" s="140" t="str">
        <x:v>Edge zone</x:v>
      </x:c>
      <x:c r="D42" s="248"/>
      <x:c r="E42" s="249" t="str">
        <x:f>IF(OR($C$28="",D42="",$I$26=""),"",$C$28*$C$18*(D42-$I$26))</x:f>
      </x:c>
      <x:c r="F42" s="249" t="str">
        <x:f>IF(OR($C$28="",D42="",$J$26=""),"",$C$28*$C$18*(D42-$J$26))</x:f>
      </x:c>
      <x:c r="G42" s="249" t="str">
        <x:f>IF(OR(E42="",F42=""),"",MAX(ABS(E42),ABS(F42)))</x:f>
      </x:c>
      <x:c r="H42" s="249" t="str">
        <x:f>IF(OR($C$28="",D42="",$I$26=""),"",($C$28*$C$18*D42)-($C$28*$C$18*$I$26))</x:f>
      </x:c>
      <x:c r="I42" s="249" t="str">
        <x:f>IF(OR(E42="",H42=""),"",ABS(E42-H42))</x:f>
      </x:c>
      <x:c r="J42" s="140" t="str">
        <x:f>IF(D42="","PENDING",IF(I42&lt;=0.001,"PASS","CHECK"))</x:f>
        <x:v>PENDING</x:v>
      </x:c>
      <x:c r="K42" s="140"/>
      <x:c r="L42" s="140"/>
      <x:c r="M42" s="140"/>
      <x:c r="N42" s="140"/>
      <x:c r="O42" s="140"/>
      <x:c r="P42" s="140"/>
      <x:c r="Q42" s="140"/>
      <x:c r="R42" s="140"/>
    </x:row>
    <x:row r="43">
      <x:c r="B43" s="140" t="str">
        <x:v>2E</x:v>
      </x:c>
      <x:c r="C43" s="140" t="str">
        <x:v>Edge zone</x:v>
      </x:c>
      <x:c r="D43" s="248"/>
      <x:c r="E43" s="249" t="str">
        <x:f>IF(OR($C$28="",D43="",$I$26=""),"",$C$28*$C$18*(D43-$I$26))</x:f>
      </x:c>
      <x:c r="F43" s="249" t="str">
        <x:f>IF(OR($C$28="",D43="",$J$26=""),"",$C$28*$C$18*(D43-$J$26))</x:f>
      </x:c>
      <x:c r="G43" s="249" t="str">
        <x:f>IF(OR(E43="",F43=""),"",MAX(ABS(E43),ABS(F43)))</x:f>
      </x:c>
      <x:c r="H43" s="249" t="str">
        <x:f>IF(OR($C$28="",D43="",$I$26=""),"",($C$28*$C$18*D43)-($C$28*$C$18*$I$26))</x:f>
      </x:c>
      <x:c r="I43" s="249" t="str">
        <x:f>IF(OR(E43="",H43=""),"",ABS(E43-H43))</x:f>
      </x:c>
      <x:c r="J43" s="140" t="str">
        <x:f>IF(D43="","PENDING",IF(I43&lt;=0.001,"PASS","CHECK"))</x:f>
        <x:v>PENDING</x:v>
      </x:c>
      <x:c r="K43" s="140"/>
      <x:c r="L43" s="140"/>
      <x:c r="M43" s="140"/>
      <x:c r="N43" s="140"/>
      <x:c r="O43" s="140"/>
      <x:c r="P43" s="140"/>
      <x:c r="Q43" s="140"/>
      <x:c r="R43" s="140"/>
    </x:row>
    <x:row r="44">
      <x:c r="B44" s="140" t="str">
        <x:v>3E</x:v>
      </x:c>
      <x:c r="C44" s="140" t="str">
        <x:v>Edge zone</x:v>
      </x:c>
      <x:c r="D44" s="248"/>
      <x:c r="E44" s="249" t="str">
        <x:f>IF(OR($C$28="",D44="",$I$26=""),"",$C$28*$C$18*(D44-$I$26))</x:f>
      </x:c>
      <x:c r="F44" s="249" t="str">
        <x:f>IF(OR($C$28="",D44="",$J$26=""),"",$C$28*$C$18*(D44-$J$26))</x:f>
      </x:c>
      <x:c r="G44" s="249" t="str">
        <x:f>IF(OR(E44="",F44=""),"",MAX(ABS(E44),ABS(F44)))</x:f>
      </x:c>
      <x:c r="H44" s="249" t="str">
        <x:f>IF(OR($C$28="",D44="",$I$26=""),"",($C$28*$C$18*D44)-($C$28*$C$18*$I$26))</x:f>
      </x:c>
      <x:c r="I44" s="249" t="str">
        <x:f>IF(OR(E44="",H44=""),"",ABS(E44-H44))</x:f>
      </x:c>
      <x:c r="J44" s="140" t="str">
        <x:f>IF(D44="","PENDING",IF(I44&lt;=0.001,"PASS","CHECK"))</x:f>
        <x:v>PENDING</x:v>
      </x:c>
      <x:c r="K44" s="140"/>
      <x:c r="L44" s="140"/>
      <x:c r="M44" s="140"/>
      <x:c r="N44" s="140"/>
      <x:c r="O44" s="140"/>
      <x:c r="P44" s="140"/>
      <x:c r="Q44" s="140"/>
      <x:c r="R44" s="140"/>
    </x:row>
    <x:row r="45">
      <x:c r="B45" s="140" t="str">
        <x:v>4E</x:v>
      </x:c>
      <x:c r="C45" s="140" t="str">
        <x:v>Edge zone</x:v>
      </x:c>
      <x:c r="D45" s="248"/>
      <x:c r="E45" s="249" t="str">
        <x:f>IF(OR($C$28="",D45="",$I$26=""),"",$C$28*$C$18*(D45-$I$26))</x:f>
      </x:c>
      <x:c r="F45" s="249" t="str">
        <x:f>IF(OR($C$28="",D45="",$J$26=""),"",$C$28*$C$18*(D45-$J$26))</x:f>
      </x:c>
      <x:c r="G45" s="249" t="str">
        <x:f>IF(OR(E45="",F45=""),"",MAX(ABS(E45),ABS(F45)))</x:f>
      </x:c>
      <x:c r="H45" s="249" t="str">
        <x:f>IF(OR($C$28="",D45="",$I$26=""),"",($C$28*$C$18*D45)-($C$28*$C$18*$I$26))</x:f>
      </x:c>
      <x:c r="I45" s="249" t="str">
        <x:f>IF(OR(E45="",H45=""),"",ABS(E45-H45))</x:f>
      </x:c>
      <x:c r="J45" s="140" t="str">
        <x:f>IF(D45="","PENDING",IF(I45&lt;=0.001,"PASS","CHECK"))</x:f>
        <x:v>PENDING</x:v>
      </x:c>
      <x:c r="K45" s="140"/>
      <x:c r="L45" s="140"/>
      <x:c r="M45" s="140"/>
      <x:c r="N45" s="140"/>
      <x:c r="O45" s="140"/>
      <x:c r="P45" s="140"/>
      <x:c r="Q45" s="140"/>
      <x:c r="R45" s="140"/>
    </x:row>
    <x:row r="46">
      <x:c r="B46" s="140" t="str">
        <x:v>5</x:v>
      </x:c>
      <x:c r="C46" s="140" t="str">
        <x:v>Gable/load-case zone</x:v>
      </x:c>
      <x:c r="D46" s="248"/>
      <x:c r="E46" s="249" t="str">
        <x:f>IF(OR($C$28="",D46="",$I$26=""),"",$C$28*$C$18*(D46-$I$26))</x:f>
      </x:c>
      <x:c r="F46" s="249" t="str">
        <x:f>IF(OR($C$28="",D46="",$J$26=""),"",$C$28*$C$18*(D46-$J$26))</x:f>
      </x:c>
      <x:c r="G46" s="249" t="str">
        <x:f>IF(OR(E46="",F46=""),"",MAX(ABS(E46),ABS(F46)))</x:f>
      </x:c>
      <x:c r="H46" s="249" t="str">
        <x:f>IF(OR($C$28="",D46="",$I$26=""),"",($C$28*$C$18*D46)-($C$28*$C$18*$I$26))</x:f>
      </x:c>
      <x:c r="I46" s="249" t="str">
        <x:f>IF(OR(E46="",H46=""),"",ABS(E46-H46))</x:f>
      </x:c>
      <x:c r="J46" s="140" t="str">
        <x:f>IF(D46="","PENDING",IF(I46&lt;=0.001,"PASS","CHECK"))</x:f>
        <x:v>PENDING</x:v>
      </x:c>
      <x:c r="K46" s="140"/>
      <x:c r="L46" s="140"/>
      <x:c r="M46" s="140"/>
      <x:c r="N46" s="140"/>
      <x:c r="O46" s="140"/>
      <x:c r="P46" s="140"/>
      <x:c r="Q46" s="140"/>
      <x:c r="R46" s="140"/>
    </x:row>
    <x:row r="47">
      <x:c r="B47" s="140" t="str">
        <x:v>6</x:v>
      </x:c>
      <x:c r="C47" s="140" t="str">
        <x:v>Gable/load-case zone</x:v>
      </x:c>
      <x:c r="D47" s="248"/>
      <x:c r="E47" s="249" t="str">
        <x:f>IF(OR($C$28="",D47="",$I$26=""),"",$C$28*$C$18*(D47-$I$26))</x:f>
      </x:c>
      <x:c r="F47" s="249" t="str">
        <x:f>IF(OR($C$28="",D47="",$J$26=""),"",$C$28*$C$18*(D47-$J$26))</x:f>
      </x:c>
      <x:c r="G47" s="249" t="str">
        <x:f>IF(OR(E47="",F47=""),"",MAX(ABS(E47),ABS(F47)))</x:f>
      </x:c>
      <x:c r="H47" s="249" t="str">
        <x:f>IF(OR($C$28="",D47="",$I$26=""),"",($C$28*$C$18*D47)-($C$28*$C$18*$I$26))</x:f>
      </x:c>
      <x:c r="I47" s="249" t="str">
        <x:f>IF(OR(E47="",H47=""),"",ABS(E47-H47))</x:f>
      </x:c>
      <x:c r="J47" s="140" t="str">
        <x:f>IF(D47="","PENDING",IF(I47&lt;=0.001,"PASS","CHECK"))</x:f>
        <x:v>PENDING</x:v>
      </x:c>
      <x:c r="K47" s="140"/>
      <x:c r="L47" s="140"/>
      <x:c r="M47" s="140"/>
      <x:c r="N47" s="140"/>
      <x:c r="O47" s="140"/>
      <x:c r="P47" s="140"/>
      <x:c r="Q47" s="140"/>
      <x:c r="R47" s="140"/>
    </x:row>
    <x:row r="48">
      <x:c r="B48" s="140" t="str">
        <x:v>5E</x:v>
      </x:c>
      <x:c r="C48" s="140" t="str">
        <x:v>Edge gable zone</x:v>
      </x:c>
      <x:c r="D48" s="248"/>
      <x:c r="E48" s="249" t="str">
        <x:f>IF(OR($C$28="",D48="",$I$26=""),"",$C$28*$C$18*(D48-$I$26))</x:f>
      </x:c>
      <x:c r="F48" s="249" t="str">
        <x:f>IF(OR($C$28="",D48="",$J$26=""),"",$C$28*$C$18*(D48-$J$26))</x:f>
      </x:c>
      <x:c r="G48" s="249" t="str">
        <x:f>IF(OR(E48="",F48=""),"",MAX(ABS(E48),ABS(F48)))</x:f>
      </x:c>
      <x:c r="H48" s="249" t="str">
        <x:f>IF(OR($C$28="",D48="",$I$26=""),"",($C$28*$C$18*D48)-($C$28*$C$18*$I$26))</x:f>
      </x:c>
      <x:c r="I48" s="249" t="str">
        <x:f>IF(OR(E48="",H48=""),"",ABS(E48-H48))</x:f>
      </x:c>
      <x:c r="J48" s="140" t="str">
        <x:f>IF(D48="","PENDING",IF(I48&lt;=0.001,"PASS","CHECK"))</x:f>
        <x:v>PENDING</x:v>
      </x:c>
      <x:c r="K48" s="140"/>
      <x:c r="L48" s="140"/>
      <x:c r="M48" s="140"/>
      <x:c r="N48" s="140"/>
      <x:c r="O48" s="140"/>
      <x:c r="P48" s="140"/>
      <x:c r="Q48" s="140"/>
      <x:c r="R48" s="140"/>
    </x:row>
    <x:row r="49">
      <x:c r="B49" s="140" t="str">
        <x:v>6E</x:v>
      </x:c>
      <x:c r="C49" s="140" t="str">
        <x:v>Edge gable zone</x:v>
      </x:c>
      <x:c r="D49" s="248"/>
      <x:c r="E49" s="249" t="str">
        <x:f>IF(OR($C$28="",D49="",$I$26=""),"",$C$28*$C$18*(D49-$I$26))</x:f>
      </x:c>
      <x:c r="F49" s="249" t="str">
        <x:f>IF(OR($C$28="",D49="",$J$26=""),"",$C$28*$C$18*(D49-$J$26))</x:f>
      </x:c>
      <x:c r="G49" s="249" t="str">
        <x:f>IF(OR(E49="",F49=""),"",MAX(ABS(E49),ABS(F49)))</x:f>
      </x:c>
      <x:c r="H49" s="249" t="str">
        <x:f>IF(OR($C$28="",D49="",$I$26=""),"",($C$28*$C$18*D49)-($C$28*$C$18*$I$26))</x:f>
      </x:c>
      <x:c r="I49" s="249" t="str">
        <x:f>IF(OR(E49="",H49=""),"",ABS(E49-H49))</x:f>
      </x:c>
      <x:c r="J49" s="140" t="str">
        <x:f>IF(D49="","PENDING",IF(I49&lt;=0.001,"PASS","CHECK"))</x:f>
        <x:v>PENDING</x:v>
      </x:c>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206" t="str">
        <x:v>COMPONENTS &amp; CLADDING — CHAPTER 30 PRESSURE ENGINE</x:v>
      </x:c>
      <x:c r="C52" s="206"/>
      <x:c r="D52" s="206"/>
      <x:c r="E52" s="206"/>
      <x:c r="F52" s="206"/>
      <x:c r="G52" s="206"/>
      <x:c r="H52" s="206"/>
      <x:c r="I52" s="206"/>
      <x:c r="J52" s="206"/>
      <x:c r="K52" s="140"/>
      <x:c r="L52" s="140"/>
      <x:c r="M52" s="140"/>
      <x:c r="N52" s="140"/>
      <x:c r="O52" s="140"/>
      <x:c r="P52" s="140"/>
      <x:c r="Q52" s="140"/>
      <x:c r="R52" s="140"/>
    </x:row>
    <x:row r="53">
      <x:c r="B53" s="250" t="str">
        <x:v>For low-rise buildings, enter each component/zone's effective wind area and the corresponding (GCp) from the applicable ASCE 7-22 Chapter 30 figure. The engine calculates both internal pressure signs using p = qh·Kd[(GCp) − (GCpi)]. Do not use these results until the coefficient source and effective wind area have been reviewed.</x:v>
      </x:c>
      <x:c r="C53" s="250"/>
      <x:c r="D53" s="250"/>
      <x:c r="E53" s="250"/>
      <x:c r="F53" s="250"/>
      <x:c r="G53" s="250"/>
      <x:c r="H53" s="250"/>
      <x:c r="I53" s="250"/>
      <x:c r="J53" s="250"/>
      <x:c r="K53" s="140"/>
      <x:c r="L53" s="140"/>
      <x:c r="M53" s="140"/>
      <x:c r="N53" s="140"/>
      <x:c r="O53" s="140"/>
      <x:c r="P53" s="140"/>
      <x:c r="Q53" s="140"/>
      <x:c r="R53" s="140"/>
    </x:row>
    <x:row r="54">
      <x:c r="B54" s="250"/>
      <x:c r="C54" s="250"/>
      <x:c r="D54" s="250"/>
      <x:c r="E54" s="250"/>
      <x:c r="F54" s="250"/>
      <x:c r="G54" s="250"/>
      <x:c r="H54" s="250"/>
      <x:c r="I54" s="250"/>
      <x:c r="J54" s="250"/>
      <x:c r="K54" s="140"/>
      <x:c r="L54" s="140"/>
      <x:c r="M54" s="140"/>
      <x:c r="N54" s="140"/>
      <x:c r="O54" s="140"/>
      <x:c r="P54" s="140"/>
      <x:c r="Q54" s="140"/>
      <x:c r="R54" s="140"/>
    </x:row>
    <x:row r="55">
      <x:c r="B55" s="140"/>
      <x:c r="C55" s="140"/>
      <x:c r="D55" s="140"/>
      <x:c r="E55" s="140"/>
      <x:c r="F55" s="140"/>
      <x:c r="G55" s="140"/>
      <x:c r="H55" s="140"/>
      <x:c r="I55" s="140"/>
      <x:c r="J55" s="140"/>
      <x:c r="K55" s="140"/>
      <x:c r="L55" s="140"/>
      <x:c r="M55" s="140"/>
      <x:c r="N55" s="140"/>
      <x:c r="O55" s="140"/>
      <x:c r="P55" s="140"/>
      <x:c r="Q55" s="140"/>
      <x:c r="R55" s="140"/>
    </x:row>
    <x:row r="56">
      <x:c r="B56" s="231" t="str">
        <x:v>Element ID</x:v>
      </x:c>
      <x:c r="C56" s="231" t="str">
        <x:v>Surface / Zone</x:v>
      </x:c>
      <x:c r="D56" s="231" t="str">
        <x:v>Eff. Area (ft²)</x:v>
      </x:c>
      <x:c r="E56" s="231" t="str">
        <x:v>GCp</x:v>
      </x:c>
      <x:c r="F56" s="231" t="str">
        <x:v>p with +GCpi</x:v>
      </x:c>
      <x:c r="G56" s="231" t="str">
        <x:v>p with −GCpi</x:v>
      </x:c>
      <x:c r="H56" s="231" t="str">
        <x:v>Governing |p|</x:v>
      </x:c>
      <x:c r="I56" s="231" t="str">
        <x:v>Source Ref</x:v>
      </x:c>
      <x:c r="J56" s="231" t="str">
        <x:v>Status</x:v>
      </x:c>
      <x:c r="K56" s="140"/>
      <x:c r="L56" s="140"/>
      <x:c r="M56" s="140"/>
      <x:c r="N56" s="140"/>
      <x:c r="O56" s="140"/>
      <x:c r="P56" s="140"/>
      <x:c r="Q56" s="140"/>
      <x:c r="R56" s="140"/>
    </x:row>
    <x:row r="57">
      <x:c r="B57" s="140" t="str">
        <x:v>C&amp;C-01</x:v>
      </x:c>
      <x:c r="C57" s="254"/>
      <x:c r="D57" s="255"/>
      <x:c r="E57" s="248"/>
      <x:c r="F57" s="249" t="str">
        <x:f>IF(OR($C$28="",E57="",$I$26=""),"",$C$28*$C$18*(E57-$I$26))</x:f>
      </x:c>
      <x:c r="G57" s="249" t="str">
        <x:f>IF(OR($C$28="",E57="",$J$26=""),"",$C$28*$C$18*(E57-$J$26))</x:f>
      </x:c>
      <x:c r="H57" s="249" t="str">
        <x:f>IF(OR(F57="",G57=""),"",MAX(ABS(F57),ABS(G57)))</x:f>
      </x:c>
      <x:c r="I57" s="254"/>
      <x:c r="J57" s="140" t="str">
        <x:f>IF(OR(C57="",D57="",E57="",I57=""),"PENDING","CALCULATED")</x:f>
        <x:v>PENDING</x:v>
      </x:c>
      <x:c r="K57" s="140"/>
      <x:c r="L57" s="140"/>
      <x:c r="M57" s="140"/>
      <x:c r="N57" s="140"/>
      <x:c r="O57" s="140"/>
      <x:c r="P57" s="140"/>
      <x:c r="Q57" s="140"/>
      <x:c r="R57" s="140"/>
    </x:row>
    <x:row r="58">
      <x:c r="B58" s="140" t="str">
        <x:v>C&amp;C-02</x:v>
      </x:c>
      <x:c r="C58" s="254"/>
      <x:c r="D58" s="255"/>
      <x:c r="E58" s="248"/>
      <x:c r="F58" s="249" t="str">
        <x:f>IF(OR($C$28="",E58="",$I$26=""),"",$C$28*$C$18*(E58-$I$26))</x:f>
      </x:c>
      <x:c r="G58" s="249" t="str">
        <x:f>IF(OR($C$28="",E58="",$J$26=""),"",$C$28*$C$18*(E58-$J$26))</x:f>
      </x:c>
      <x:c r="H58" s="249" t="str">
        <x:f>IF(OR(F58="",G58=""),"",MAX(ABS(F58),ABS(G58)))</x:f>
      </x:c>
      <x:c r="I58" s="254"/>
      <x:c r="J58" s="140" t="str">
        <x:f>IF(OR(C58="",D58="",E58="",I58=""),"PENDING","CALCULATED")</x:f>
        <x:v>PENDING</x:v>
      </x:c>
      <x:c r="K58" s="140"/>
      <x:c r="L58" s="140"/>
      <x:c r="M58" s="140"/>
      <x:c r="N58" s="140"/>
      <x:c r="O58" s="140"/>
      <x:c r="P58" s="140"/>
      <x:c r="Q58" s="140"/>
      <x:c r="R58" s="140"/>
    </x:row>
    <x:row r="59">
      <x:c r="B59" s="140" t="str">
        <x:v>C&amp;C-03</x:v>
      </x:c>
      <x:c r="C59" s="254"/>
      <x:c r="D59" s="255"/>
      <x:c r="E59" s="248"/>
      <x:c r="F59" s="249" t="str">
        <x:f>IF(OR($C$28="",E59="",$I$26=""),"",$C$28*$C$18*(E59-$I$26))</x:f>
      </x:c>
      <x:c r="G59" s="249" t="str">
        <x:f>IF(OR($C$28="",E59="",$J$26=""),"",$C$28*$C$18*(E59-$J$26))</x:f>
      </x:c>
      <x:c r="H59" s="249" t="str">
        <x:f>IF(OR(F59="",G59=""),"",MAX(ABS(F59),ABS(G59)))</x:f>
      </x:c>
      <x:c r="I59" s="254"/>
      <x:c r="J59" s="140" t="str">
        <x:f>IF(OR(C59="",D59="",E59="",I59=""),"PENDING","CALCULATED")</x:f>
        <x:v>PENDING</x:v>
      </x:c>
      <x:c r="K59" s="140"/>
      <x:c r="L59" s="140"/>
      <x:c r="M59" s="140"/>
      <x:c r="N59" s="140"/>
      <x:c r="O59" s="140"/>
      <x:c r="P59" s="140"/>
      <x:c r="Q59" s="140"/>
      <x:c r="R59" s="140"/>
    </x:row>
    <x:row r="60">
      <x:c r="B60" s="140" t="str">
        <x:v>C&amp;C-04</x:v>
      </x:c>
      <x:c r="C60" s="254"/>
      <x:c r="D60" s="255"/>
      <x:c r="E60" s="248"/>
      <x:c r="F60" s="249" t="str">
        <x:f>IF(OR($C$28="",E60="",$I$26=""),"",$C$28*$C$18*(E60-$I$26))</x:f>
      </x:c>
      <x:c r="G60" s="249" t="str">
        <x:f>IF(OR($C$28="",E60="",$J$26=""),"",$C$28*$C$18*(E60-$J$26))</x:f>
      </x:c>
      <x:c r="H60" s="249" t="str">
        <x:f>IF(OR(F60="",G60=""),"",MAX(ABS(F60),ABS(G60)))</x:f>
      </x:c>
      <x:c r="I60" s="254"/>
      <x:c r="J60" s="140" t="str">
        <x:f>IF(OR(C60="",D60="",E60="",I60=""),"PENDING","CALCULATED")</x:f>
        <x:v>PENDING</x:v>
      </x:c>
      <x:c r="K60" s="140"/>
      <x:c r="L60" s="140"/>
      <x:c r="M60" s="140"/>
      <x:c r="N60" s="140"/>
      <x:c r="O60" s="140"/>
      <x:c r="P60" s="140"/>
      <x:c r="Q60" s="140"/>
      <x:c r="R60" s="140"/>
    </x:row>
    <x:row r="61">
      <x:c r="B61" s="140" t="str">
        <x:v>C&amp;C-05</x:v>
      </x:c>
      <x:c r="C61" s="254"/>
      <x:c r="D61" s="255"/>
      <x:c r="E61" s="248"/>
      <x:c r="F61" s="249" t="str">
        <x:f>IF(OR($C$28="",E61="",$I$26=""),"",$C$28*$C$18*(E61-$I$26))</x:f>
      </x:c>
      <x:c r="G61" s="249" t="str">
        <x:f>IF(OR($C$28="",E61="",$J$26=""),"",$C$28*$C$18*(E61-$J$26))</x:f>
      </x:c>
      <x:c r="H61" s="249" t="str">
        <x:f>IF(OR(F61="",G61=""),"",MAX(ABS(F61),ABS(G61)))</x:f>
      </x:c>
      <x:c r="I61" s="254"/>
      <x:c r="J61" s="140" t="str">
        <x:f>IF(OR(C61="",D61="",E61="",I61=""),"PENDING","CALCULATED")</x:f>
        <x:v>PENDING</x:v>
      </x:c>
      <x:c r="K61" s="140"/>
      <x:c r="L61" s="140"/>
      <x:c r="M61" s="140"/>
      <x:c r="N61" s="140"/>
      <x:c r="O61" s="140"/>
      <x:c r="P61" s="140"/>
      <x:c r="Q61" s="140"/>
      <x:c r="R61" s="140"/>
    </x:row>
    <x:row r="62">
      <x:c r="B62" s="140" t="str">
        <x:v>C&amp;C-06</x:v>
      </x:c>
      <x:c r="C62" s="254"/>
      <x:c r="D62" s="255"/>
      <x:c r="E62" s="248"/>
      <x:c r="F62" s="249" t="str">
        <x:f>IF(OR($C$28="",E62="",$I$26=""),"",$C$28*$C$18*(E62-$I$26))</x:f>
      </x:c>
      <x:c r="G62" s="249" t="str">
        <x:f>IF(OR($C$28="",E62="",$J$26=""),"",$C$28*$C$18*(E62-$J$26))</x:f>
      </x:c>
      <x:c r="H62" s="249" t="str">
        <x:f>IF(OR(F62="",G62=""),"",MAX(ABS(F62),ABS(G62)))</x:f>
      </x:c>
      <x:c r="I62" s="254"/>
      <x:c r="J62" s="140" t="str">
        <x:f>IF(OR(C62="",D62="",E62="",I62=""),"PENDING","CALCULATED")</x:f>
        <x:v>PENDING</x:v>
      </x:c>
      <x:c r="K62" s="140"/>
      <x:c r="L62" s="140"/>
      <x:c r="M62" s="140"/>
      <x:c r="N62" s="140"/>
      <x:c r="O62" s="140"/>
      <x:c r="P62" s="140"/>
      <x:c r="Q62" s="140"/>
      <x:c r="R62" s="140"/>
    </x:row>
    <x:row r="63">
      <x:c r="B63" s="140" t="str">
        <x:v>C&amp;C-07</x:v>
      </x:c>
      <x:c r="C63" s="254"/>
      <x:c r="D63" s="255"/>
      <x:c r="E63" s="248"/>
      <x:c r="F63" s="249" t="str">
        <x:f>IF(OR($C$28="",E63="",$I$26=""),"",$C$28*$C$18*(E63-$I$26))</x:f>
      </x:c>
      <x:c r="G63" s="249" t="str">
        <x:f>IF(OR($C$28="",E63="",$J$26=""),"",$C$28*$C$18*(E63-$J$26))</x:f>
      </x:c>
      <x:c r="H63" s="249" t="str">
        <x:f>IF(OR(F63="",G63=""),"",MAX(ABS(F63),ABS(G63)))</x:f>
      </x:c>
      <x:c r="I63" s="254"/>
      <x:c r="J63" s="140" t="str">
        <x:f>IF(OR(C63="",D63="",E63="",I63=""),"PENDING","CALCULATED")</x:f>
        <x:v>PENDING</x:v>
      </x:c>
      <x:c r="K63" s="140"/>
      <x:c r="L63" s="140"/>
      <x:c r="M63" s="140"/>
      <x:c r="N63" s="140"/>
      <x:c r="O63" s="140"/>
      <x:c r="P63" s="140"/>
      <x:c r="Q63" s="140"/>
      <x:c r="R63" s="140"/>
    </x:row>
    <x:row r="64">
      <x:c r="B64" s="140" t="str">
        <x:v>C&amp;C-08</x:v>
      </x:c>
      <x:c r="C64" s="254"/>
      <x:c r="D64" s="255"/>
      <x:c r="E64" s="248"/>
      <x:c r="F64" s="249" t="str">
        <x:f>IF(OR($C$28="",E64="",$I$26=""),"",$C$28*$C$18*(E64-$I$26))</x:f>
      </x:c>
      <x:c r="G64" s="249" t="str">
        <x:f>IF(OR($C$28="",E64="",$J$26=""),"",$C$28*$C$18*(E64-$J$26))</x:f>
      </x:c>
      <x:c r="H64" s="249" t="str">
        <x:f>IF(OR(F64="",G64=""),"",MAX(ABS(F64),ABS(G64)))</x:f>
      </x:c>
      <x:c r="I64" s="254"/>
      <x:c r="J64" s="140" t="str">
        <x:f>IF(OR(C64="",D64="",E64="",I64=""),"PENDING","CALCULATED")</x:f>
        <x:v>PENDING</x:v>
      </x:c>
      <x:c r="K64" s="140"/>
      <x:c r="L64" s="140"/>
      <x:c r="M64" s="140"/>
      <x:c r="N64" s="140"/>
      <x:c r="O64" s="140"/>
      <x:c r="P64" s="140"/>
      <x:c r="Q64" s="140"/>
      <x:c r="R64" s="140"/>
    </x:row>
    <x:row r="65">
      <x:c r="B65" s="140" t="str">
        <x:v>C&amp;C-09</x:v>
      </x:c>
      <x:c r="C65" s="254"/>
      <x:c r="D65" s="255"/>
      <x:c r="E65" s="248"/>
      <x:c r="F65" s="249" t="str">
        <x:f>IF(OR($C$28="",E65="",$I$26=""),"",$C$28*$C$18*(E65-$I$26))</x:f>
      </x:c>
      <x:c r="G65" s="249" t="str">
        <x:f>IF(OR($C$28="",E65="",$J$26=""),"",$C$28*$C$18*(E65-$J$26))</x:f>
      </x:c>
      <x:c r="H65" s="249" t="str">
        <x:f>IF(OR(F65="",G65=""),"",MAX(ABS(F65),ABS(G65)))</x:f>
      </x:c>
      <x:c r="I65" s="254"/>
      <x:c r="J65" s="140" t="str">
        <x:f>IF(OR(C65="",D65="",E65="",I65=""),"PENDING","CALCULATED")</x:f>
        <x:v>PENDING</x:v>
      </x:c>
      <x:c r="K65" s="140"/>
      <x:c r="L65" s="140"/>
      <x:c r="M65" s="140"/>
      <x:c r="N65" s="140"/>
      <x:c r="O65" s="140"/>
      <x:c r="P65" s="140"/>
      <x:c r="Q65" s="140"/>
      <x:c r="R65" s="140"/>
    </x:row>
    <x:row r="66">
      <x:c r="B66" s="140" t="str">
        <x:v>C&amp;C-10</x:v>
      </x:c>
      <x:c r="C66" s="254"/>
      <x:c r="D66" s="255"/>
      <x:c r="E66" s="248"/>
      <x:c r="F66" s="249" t="str">
        <x:f>IF(OR($C$28="",E66="",$I$26=""),"",$C$28*$C$18*(E66-$I$26))</x:f>
      </x:c>
      <x:c r="G66" s="249" t="str">
        <x:f>IF(OR($C$28="",E66="",$J$26=""),"",$C$28*$C$18*(E66-$J$26))</x:f>
      </x:c>
      <x:c r="H66" s="249" t="str">
        <x:f>IF(OR(F66="",G66=""),"",MAX(ABS(F66),ABS(G66)))</x:f>
      </x:c>
      <x:c r="I66" s="254"/>
      <x:c r="J66" s="140" t="str">
        <x:f>IF(OR(C66="",D66="",E66="",I66=""),"PENDING","CALCULATED")</x:f>
        <x:v>PENDING</x:v>
      </x:c>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206" t="str">
        <x:v>LOCKED QA BENCHMARK — INDEPENDENT NUMERIC CHECK</x:v>
      </x:c>
      <x:c r="C69" s="206"/>
      <x:c r="D69" s="206"/>
      <x:c r="E69" s="206"/>
      <x:c r="F69" s="206"/>
      <x:c r="G69" s="206"/>
      <x:c r="H69" s="206"/>
      <x:c r="I69" s="206"/>
      <x:c r="J69" s="206"/>
      <x:c r="K69" s="140"/>
      <x:c r="L69" s="140"/>
      <x:c r="M69" s="140"/>
      <x:c r="N69" s="140"/>
      <x:c r="O69" s="140"/>
      <x:c r="P69" s="140"/>
      <x:c r="Q69" s="140"/>
      <x:c r="R69" s="140"/>
    </x:row>
    <x:row r="70">
      <x:c r="B70" s="231" t="str">
        <x:v>Benchmark</x:v>
      </x:c>
      <x:c r="C70" s="231" t="str">
        <x:v>V</x:v>
      </x:c>
      <x:c r="D70" s="231" t="str">
        <x:v>Kh</x:v>
      </x:c>
      <x:c r="E70" s="231" t="str">
        <x:v>Kzt</x:v>
      </x:c>
      <x:c r="F70" s="231" t="str">
        <x:v>Ke</x:v>
      </x:c>
      <x:c r="G70" s="231" t="str">
        <x:v>Kd</x:v>
      </x:c>
      <x:c r="H70" s="231" t="str">
        <x:v>GCpf</x:v>
      </x:c>
      <x:c r="I70" s="231" t="str">
        <x:v>GCpi</x:v>
      </x:c>
      <x:c r="J70" s="231" t="str">
        <x:v>Expected</x:v>
      </x:c>
      <x:c r="K70" s="231" t="str">
        <x:v>Workbook</x:v>
      </x:c>
      <x:c r="L70" s="231" t="str">
        <x:v>Abs Diff</x:v>
      </x:c>
      <x:c r="M70" s="231" t="str">
        <x:v>Status</x:v>
      </x:c>
      <x:c r="N70" s="140"/>
      <x:c r="O70" s="140"/>
      <x:c r="P70" s="140"/>
      <x:c r="Q70" s="140"/>
      <x:c r="R70" s="140"/>
    </x:row>
    <x:row r="71">
      <x:c r="B71" s="140" t="str">
        <x:v>W-QA-01 qh</x:v>
      </x:c>
      <x:c r="C71" s="140" t="n">
        <x:v>115</x:v>
      </x:c>
      <x:c r="D71" s="140" t="n">
        <x:v>0.7</x:v>
      </x:c>
      <x:c r="E71" s="140" t="n">
        <x:v>1</x:v>
      </x:c>
      <x:c r="F71" s="140" t="n">
        <x:v>1</x:v>
      </x:c>
      <x:c r="G71" s="140" t="n">
        <x:v>0.85</x:v>
      </x:c>
      <x:c r="H71" s="140"/>
      <x:c r="I71" s="140"/>
      <x:c r="J71" s="256" t="n">
        <x:v>23.6992</x:v>
      </x:c>
      <x:c r="K71" s="256" t="n">
        <x:f>0.00256*D71*E71*F71*C71^2</x:f>
        <x:v>23.6992</x:v>
      </x:c>
      <x:c r="L71" s="256" t="n">
        <x:f>ABS(K71-J71)</x:f>
        <x:v>0</x:v>
      </x:c>
      <x:c r="M71" s="140" t="str">
        <x:f>IF(L71&lt;=0.001,"PASS","CHECK")</x:f>
        <x:v>PASS</x:v>
      </x:c>
      <x:c r="N71" s="140"/>
      <x:c r="O71" s="140"/>
      <x:c r="P71" s="140"/>
      <x:c r="Q71" s="140"/>
      <x:c r="R71" s="140"/>
    </x:row>
    <x:row r="72">
      <x:c r="B72" s="140" t="str">
        <x:v>W-QA-02 p(+)</x:v>
      </x:c>
      <x:c r="C72" s="140" t="n">
        <x:v>115</x:v>
      </x:c>
      <x:c r="D72" s="140" t="n">
        <x:v>0.7</x:v>
      </x:c>
      <x:c r="E72" s="140" t="n">
        <x:v>1</x:v>
      </x:c>
      <x:c r="F72" s="140" t="n">
        <x:v>1</x:v>
      </x:c>
      <x:c r="G72" s="140" t="n">
        <x:v>0.85</x:v>
      </x:c>
      <x:c r="H72" s="140" t="n">
        <x:v>0.5</x:v>
      </x:c>
      <x:c r="I72" s="140" t="n">
        <x:v>0.18</x:v>
      </x:c>
      <x:c r="J72" s="256" t="n">
        <x:v>6.4461824</x:v>
      </x:c>
      <x:c r="K72" s="256" t="n">
        <x:f>0.00256*D72*E72*F72*C72^2*G72*(H72-I72)</x:f>
        <x:v>6.4461824000000005</x:v>
      </x:c>
      <x:c r="L72" s="256" t="n">
        <x:f>ABS(K72-J72)</x:f>
        <x:v>8.881784197001252e-16</x:v>
      </x:c>
      <x:c r="M72" s="140" t="str">
        <x:f>IF(L72&lt;=0.001,"PASS","CHECK")</x:f>
        <x:v>PASS</x:v>
      </x:c>
      <x:c r="N72" s="140"/>
      <x:c r="O72" s="140"/>
      <x:c r="P72" s="140"/>
      <x:c r="Q72" s="140"/>
      <x:c r="R72" s="140"/>
    </x:row>
    <x:row r="73">
      <x:c r="B73" s="140" t="str">
        <x:v>W-QA-03 p(−)</x:v>
      </x:c>
      <x:c r="C73" s="140" t="n">
        <x:v>115</x:v>
      </x:c>
      <x:c r="D73" s="140" t="n">
        <x:v>0.7</x:v>
      </x:c>
      <x:c r="E73" s="140" t="n">
        <x:v>1</x:v>
      </x:c>
      <x:c r="F73" s="140" t="n">
        <x:v>1</x:v>
      </x:c>
      <x:c r="G73" s="140" t="n">
        <x:v>0.85</x:v>
      </x:c>
      <x:c r="H73" s="140" t="n">
        <x:v>0.5</x:v>
      </x:c>
      <x:c r="I73" s="140" t="n">
        <x:v>-0.18</x:v>
      </x:c>
      <x:c r="J73" s="256" t="n">
        <x:v>13.6981376</x:v>
      </x:c>
      <x:c r="K73" s="256" t="n">
        <x:f>0.00256*D73*E73*F73*C73^2*G73*(H73-I73)</x:f>
        <x:v>13.698137599999999</x:v>
      </x:c>
      <x:c r="L73" s="256" t="n">
        <x:f>ABS(K73-J73)</x:f>
        <x:v>1.7763568394002505e-15</x:v>
      </x:c>
      <x:c r="M73" s="140" t="str">
        <x:f>IF(L73&lt;=0.001,"PASS","CHECK")</x:f>
        <x:v>PASS</x:v>
      </x:c>
      <x:c r="N73" s="140"/>
      <x:c r="O73" s="140"/>
      <x:c r="P73" s="140"/>
      <x:c r="Q73" s="140"/>
      <x:c r="R73" s="140"/>
    </x:row>
    <x:row r="74">
      <x:c r="B74" s="140"/>
      <x:c r="C74" s="140"/>
      <x:c r="D74" s="140"/>
      <x:c r="E74" s="140"/>
      <x:c r="F74" s="140"/>
      <x:c r="G74" s="140"/>
      <x:c r="H74" s="140"/>
      <x:c r="I74" s="140"/>
      <x:c r="J74" s="140"/>
      <x:c r="K74" s="140"/>
      <x:c r="L74" s="140"/>
      <x:c r="M74" s="140"/>
      <x:c r="N74" s="140"/>
      <x:c r="O74" s="140"/>
      <x:c r="P74" s="140"/>
      <x:c r="Q74" s="140"/>
      <x:c r="R74" s="140"/>
    </x:row>
    <x:row r="75">
      <x:c r="B75" s="244" t="str">
        <x:v>Scope controls still requiring completion: exact Chapter 28 external coefficients / load cases, Chapter 30 coefficient selection by effective wind area, minimum design wind pressure checks, parapets/overhangs, and Chapter 27 directional procedure. Those are intentionally not fabricated or silently inferred.</x:v>
      </x:c>
      <x:c r="C75" s="244"/>
      <x:c r="D75" s="244"/>
      <x:c r="E75" s="244"/>
      <x:c r="F75" s="244"/>
      <x:c r="G75" s="244"/>
      <x:c r="H75" s="244"/>
      <x:c r="I75" s="244"/>
      <x:c r="J75" s="244"/>
      <x:c r="K75" s="140"/>
      <x:c r="L75" s="140"/>
      <x:c r="M75" s="140"/>
      <x:c r="N75" s="140"/>
      <x:c r="O75" s="140"/>
      <x:c r="P75" s="140"/>
      <x:c r="Q75" s="140"/>
      <x:c r="R75" s="140"/>
    </x:row>
    <x:row r="76">
      <x:c r="B76" s="244"/>
      <x:c r="C76" s="244"/>
      <x:c r="D76" s="244"/>
      <x:c r="E76" s="244"/>
      <x:c r="F76" s="244"/>
      <x:c r="G76" s="244"/>
      <x:c r="H76" s="244"/>
      <x:c r="I76" s="244"/>
      <x:c r="J76" s="244"/>
      <x:c r="K76" s="140"/>
      <x:c r="L76" s="140"/>
      <x:c r="M76" s="140"/>
      <x:c r="N76" s="140"/>
      <x:c r="O76" s="140"/>
      <x:c r="P76" s="140"/>
      <x:c r="Q76" s="140"/>
      <x:c r="R76" s="140"/>
    </x:row>
  </x:sheetData>
  <x:mergeCells>
    <x:mergeCell ref="B2:J2"/>
    <x:mergeCell ref="B4:J5"/>
    <x:mergeCell ref="B7:J7"/>
    <x:mergeCell ref="H8:J8"/>
    <x:mergeCell ref="B24:J24"/>
    <x:mergeCell ref="H24:J24"/>
    <x:mergeCell ref="B34:J34"/>
    <x:mergeCell ref="B35:J35"/>
    <x:mergeCell ref="B52:J52"/>
    <x:mergeCell ref="B53:J54"/>
    <x:mergeCell ref="B69:J69"/>
    <x:mergeCell ref="B75:J76"/>
    <x:mergeCell ref="N2:R2"/>
  </x:mergeCells>
  <x:conditionalFormatting sqref="I12:I12">
    <x:cfRule type="expression" dxfId="26" priority="1">
      <x:formula>I12="ELIGIBLE"</x:formula>
    </x:cfRule>
    <x:cfRule type="expression" dxfId="27" priority="2">
      <x:formula>I12="REVIEW CH.27"</x:formula>
    </x:cfRule>
  </x:conditionalFormatting>
  <x:conditionalFormatting sqref="C30:E30">
    <x:cfRule type="expression" dxfId="28" priority="3">
      <x:formula>C30="PASS"</x:formula>
    </x:cfRule>
    <x:cfRule type="expression" dxfId="29" priority="4">
      <x:formula>C30="CHECK"</x:formula>
    </x:cfRule>
  </x:conditionalFormatting>
  <x:conditionalFormatting sqref="J38:J49">
    <x:cfRule type="expression" dxfId="30" priority="5">
      <x:formula>J38="PASS"</x:formula>
    </x:cfRule>
    <x:cfRule type="expression" dxfId="31" priority="6">
      <x:formula>J38="CHECK"</x:formula>
    </x:cfRule>
    <x:cfRule type="expression" dxfId="32" priority="7">
      <x:formula>J38="PENDING"</x:formula>
    </x:cfRule>
  </x:conditionalFormatting>
  <x:conditionalFormatting sqref="J57:J66">
    <x:cfRule type="expression" dxfId="33" priority="8">
      <x:formula>J57="CALCULATED"</x:formula>
    </x:cfRule>
    <x:cfRule type="expression" dxfId="34" priority="9">
      <x:formula>J57="PENDING"</x:formula>
    </x:cfRule>
  </x:conditionalFormatting>
  <x:conditionalFormatting sqref="M71:M73">
    <x:cfRule type="expression" dxfId="35" priority="10">
      <x:formula>M71="PASS"</x:formula>
    </x:cfRule>
    <x:cfRule type="expression" dxfId="36" priority="11">
      <x:formula>M71="CHECK"</x:formula>
    </x:cfRule>
  </x:conditionalFormatting>
  <x:pageMargins left="0.7" right="0.7" top="0.75" bottom="0.75" header="0.3" footer="0.3"/>
</x:worksheet>
</file>

<file path=xl/worksheets/sheet21.xml><?xml version="1.0" encoding="utf-8"?>
<x:worksheet xmlns:x="http://schemas.openxmlformats.org/spreadsheetml/2006/main">
  <x:sheetFormatPr defaultRowHeight="15"/>
  <x:cols>
    <x:col min="1" max="1" width="2" hidden="0" customWidth="1"/>
    <x:col min="2" max="2" width="22" hidden="0" customWidth="1"/>
    <x:col min="3" max="3" width="22" hidden="0" customWidth="1"/>
    <x:col min="4" max="4" width="12" hidden="0" customWidth="1"/>
    <x:col min="5" max="5" width="34" hidden="0" customWidth="1"/>
    <x:col min="6" max="6" width="14" hidden="0" customWidth="1"/>
    <x:col min="7" max="7" width="14" hidden="0" customWidth="1"/>
    <x:col min="8" max="8" width="14" hidden="0" customWidth="1"/>
  </x:cols>
  <x:sheetData>
    <x:row r="1">
      <x:c r="B1" s="140"/>
      <x:c r="C1" s="140"/>
      <x:c r="D1" s="140"/>
      <x:c r="E1" s="140"/>
      <x:c r="F1" s="140"/>
      <x:c r="G1" s="140"/>
      <x:c r="H1" s="140"/>
    </x:row>
    <x:row r="2" ht="24" customHeight="1">
      <x:c r="B2" s="253" t="str">
        <x:v>LONGHAND WIND CALCULATION — ASCE 7-22</x:v>
      </x:c>
      <x:c r="C2" s="253"/>
      <x:c r="D2" s="253"/>
      <x:c r="E2" s="253"/>
      <x:c r="F2" s="253"/>
      <x:c r="G2" s="253"/>
      <x:c r="H2" s="253"/>
    </x:row>
    <x:row r="3">
      <x:c r="B3" s="140"/>
      <x:c r="C3" s="140"/>
      <x:c r="D3" s="140"/>
      <x:c r="E3" s="140"/>
      <x:c r="F3" s="140"/>
      <x:c r="G3" s="140"/>
      <x:c r="H3" s="140"/>
    </x:row>
    <x:row r="4">
      <x:c r="B4" s="250" t="str">
        <x:v>Printable trace for velocity pressure and one selected Chapter 28 MWFRS zone. Select a zone that has a reviewed GCpf value in 16_WIND.</x:v>
      </x:c>
      <x:c r="C4" s="250"/>
      <x:c r="D4" s="250"/>
      <x:c r="E4" s="250"/>
      <x:c r="F4" s="250"/>
      <x:c r="G4" s="250"/>
      <x:c r="H4" s="250"/>
    </x:row>
    <x:row r="5">
      <x:c r="B5" s="140"/>
      <x:c r="C5" s="140"/>
      <x:c r="D5" s="140"/>
      <x:c r="E5" s="140"/>
      <x:c r="F5" s="140"/>
      <x:c r="G5" s="140"/>
      <x:c r="H5" s="140"/>
    </x:row>
    <x:row r="6">
      <x:c r="B6" s="231" t="str">
        <x:v>Selected Zone</x:v>
      </x:c>
      <x:c r="C6" s="231" t="str">
        <x:v>Value</x:v>
      </x:c>
      <x:c r="D6" s="231" t="str">
        <x:v>Source</x:v>
      </x:c>
      <x:c r="E6" s="140"/>
      <x:c r="F6" s="140"/>
      <x:c r="G6" s="140"/>
      <x:c r="H6" s="140"/>
    </x:row>
    <x:row r="7">
      <x:c r="B7" s="140" t="str">
        <x:v>Zone / Case</x:v>
      </x:c>
      <x:c r="C7" s="254"/>
      <x:c r="D7" s="140" t="str">
        <x:v>16_WIND MWFRS table</x:v>
      </x:c>
      <x:c r="E7" s="140"/>
      <x:c r="F7" s="140"/>
      <x:c r="G7" s="140"/>
      <x:c r="H7" s="140"/>
    </x:row>
    <x:row r="8">
      <x:c r="B8" s="140"/>
      <x:c r="C8" s="140"/>
      <x:c r="D8" s="140"/>
      <x:c r="E8" s="140"/>
      <x:c r="F8" s="140"/>
      <x:c r="G8" s="140"/>
      <x:c r="H8" s="140"/>
    </x:row>
    <x:row r="9">
      <x:c r="B9" s="231" t="str">
        <x:v>Input</x:v>
      </x:c>
      <x:c r="C9" s="231" t="str">
        <x:v>Value</x:v>
      </x:c>
      <x:c r="D9" s="231" t="str">
        <x:v>Unit</x:v>
      </x:c>
      <x:c r="E9" s="231" t="str">
        <x:v>Reference</x:v>
      </x:c>
      <x:c r="F9" s="140"/>
      <x:c r="G9" s="140"/>
      <x:c r="H9" s="140"/>
    </x:row>
    <x:row r="10">
      <x:c r="B10" s="140" t="str">
        <x:v>Basic wind speed V</x:v>
      </x:c>
      <x:c r="C10" s="239" t="str">
        <x:f>IF('16_WIND'!C11="","",'16_WIND'!C11)</x:f>
      </x:c>
      <x:c r="D10" s="140" t="str">
        <x:v>mph</x:v>
      </x:c>
      <x:c r="E10" s="140" t="str">
        <x:v>ASCE Hazard Tool / AHJ</x:v>
      </x:c>
      <x:c r="F10" s="140"/>
      <x:c r="G10" s="140"/>
      <x:c r="H10" s="140"/>
    </x:row>
    <x:row r="11">
      <x:c r="B11" s="140" t="str">
        <x:v>Mean roof height h</x:v>
      </x:c>
      <x:c r="C11" s="239" t="str">
        <x:f>IF('16_WIND'!C12="","",'16_WIND'!C12)</x:f>
      </x:c>
      <x:c r="D11" s="140" t="str">
        <x:v>ft</x:v>
      </x:c>
      <x:c r="E11" s="140" t="str">
        <x:v>Project geometry</x:v>
      </x:c>
      <x:c r="F11" s="140"/>
      <x:c r="G11" s="140"/>
      <x:c r="H11" s="140"/>
    </x:row>
    <x:row r="12">
      <x:c r="B12" s="140" t="str">
        <x:v>Exposure</x:v>
      </x:c>
      <x:c r="C12" s="239" t="str">
        <x:f>IF('16_WIND'!C15="","",'16_WIND'!C15)</x:f>
      </x:c>
      <x:c r="D12" s="140" t="str"/>
      <x:c r="E12" s="140" t="str">
        <x:v>ASCE 7-22 §26.7</x:v>
      </x:c>
      <x:c r="F12" s="140"/>
      <x:c r="G12" s="140"/>
      <x:c r="H12" s="140"/>
    </x:row>
    <x:row r="13">
      <x:c r="B13" s="140" t="str">
        <x:v>Kh</x:v>
      </x:c>
      <x:c r="C13" s="239" t="str">
        <x:f>IF('16_WIND'!C26="","",'16_WIND'!C26)</x:f>
      </x:c>
      <x:c r="D13" s="140" t="str"/>
      <x:c r="E13" s="140" t="str">
        <x:v>ASCE 7-22 Table 26.10-1</x:v>
      </x:c>
      <x:c r="F13" s="140"/>
      <x:c r="G13" s="140"/>
      <x:c r="H13" s="140"/>
    </x:row>
    <x:row r="14">
      <x:c r="B14" s="140" t="str">
        <x:v>Kzt</x:v>
      </x:c>
      <x:c r="C14" s="239" t="str">
        <x:f>IF('16_WIND'!C16="","",'16_WIND'!C16)</x:f>
      </x:c>
      <x:c r="D14" s="140" t="str"/>
      <x:c r="E14" s="140" t="str">
        <x:v>ASCE 7-22 §26.8</x:v>
      </x:c>
      <x:c r="F14" s="140"/>
      <x:c r="G14" s="140"/>
      <x:c r="H14" s="140"/>
    </x:row>
    <x:row r="15">
      <x:c r="B15" s="140" t="str">
        <x:v>Ke</x:v>
      </x:c>
      <x:c r="C15" s="239" t="str">
        <x:f>IF('16_WIND'!C17="","",'16_WIND'!C17)</x:f>
      </x:c>
      <x:c r="D15" s="140" t="str"/>
      <x:c r="E15" s="140" t="str">
        <x:v>ASCE 7-22 §26.9</x:v>
      </x:c>
      <x:c r="F15" s="140"/>
      <x:c r="G15" s="140"/>
      <x:c r="H15" s="140"/>
    </x:row>
    <x:row r="16">
      <x:c r="B16" s="140" t="str">
        <x:v>Kd</x:v>
      </x:c>
      <x:c r="C16" s="239" t="str">
        <x:f>IF('16_WIND'!C18="","",'16_WIND'!C18)</x:f>
      </x:c>
      <x:c r="D16" s="140" t="str"/>
      <x:c r="E16" s="140" t="str">
        <x:v>ASCE 7-22 Table 26.6-1</x:v>
      </x:c>
      <x:c r="F16" s="140"/>
      <x:c r="G16" s="140"/>
      <x:c r="H16" s="140"/>
    </x:row>
    <x:row r="17">
      <x:c r="B17" s="140" t="str">
        <x:v>GCpi (+)</x:v>
      </x:c>
      <x:c r="C17" s="239" t="str">
        <x:f>IF('16_WIND'!I26="","",'16_WIND'!I26)</x:f>
      </x:c>
      <x:c r="D17" s="140" t="str"/>
      <x:c r="E17" s="140" t="str">
        <x:v>ASCE 7-22 Table 26.13-1</x:v>
      </x:c>
      <x:c r="F17" s="140"/>
      <x:c r="G17" s="140"/>
      <x:c r="H17" s="140"/>
    </x:row>
    <x:row r="18">
      <x:c r="B18" s="140" t="str">
        <x:v>GCpi (−)</x:v>
      </x:c>
      <x:c r="C18" s="239" t="str">
        <x:f>IF('16_WIND'!J26="","",'16_WIND'!J26)</x:f>
      </x:c>
      <x:c r="D18" s="140" t="str"/>
      <x:c r="E18" s="140" t="str">
        <x:v>ASCE 7-22 Table 26.13-1</x:v>
      </x:c>
      <x:c r="F18" s="140"/>
      <x:c r="G18" s="140"/>
      <x:c r="H18" s="140"/>
    </x:row>
    <x:row r="19">
      <x:c r="B19" s="140"/>
      <x:c r="C19" s="140"/>
      <x:c r="D19" s="140"/>
      <x:c r="E19" s="140"/>
      <x:c r="F19" s="140"/>
      <x:c r="G19" s="140"/>
      <x:c r="H19" s="140"/>
    </x:row>
    <x:row r="20">
      <x:c r="B20" s="206" t="str">
        <x:v>STEP 1 — VELOCITY PRESSURE</x:v>
      </x:c>
      <x:c r="C20" s="206"/>
      <x:c r="D20" s="206"/>
      <x:c r="E20" s="206"/>
      <x:c r="F20" s="206"/>
      <x:c r="G20" s="206"/>
      <x:c r="H20" s="206"/>
    </x:row>
    <x:row r="21">
      <x:c r="B21" s="140" t="str">
        <x:v>Equation</x:v>
      </x:c>
      <x:c r="C21" s="140" t="str">
        <x:v>qh = 0.00256 · Kh · Kzt · Ke · V²</x:v>
      </x:c>
      <x:c r="D21" s="140"/>
      <x:c r="E21" s="140"/>
      <x:c r="F21" s="140"/>
      <x:c r="G21" s="140"/>
      <x:c r="H21" s="140"/>
    </x:row>
    <x:row r="22">
      <x:c r="B22" s="140" t="str">
        <x:v>Substitution</x:v>
      </x:c>
      <x:c r="C22" s="140" t="str">
        <x:f>IF(OR(C10="",C13="",C14="",C15=""),"","qh = 0.00256 × "&amp;TEXT(C13,"0.000")&amp;" × "&amp;TEXT(C14,"0.000")&amp;" × "&amp;TEXT(C15,"0.000")&amp;" × "&amp;TEXT(C10,"0.0")&amp;"²")</x:f>
      </x:c>
      <x:c r="D22" s="140"/>
      <x:c r="E22" s="140"/>
      <x:c r="F22" s="140"/>
      <x:c r="G22" s="140"/>
      <x:c r="H22" s="140"/>
    </x:row>
    <x:row r="23">
      <x:c r="B23" s="140" t="str">
        <x:v>Result</x:v>
      </x:c>
      <x:c r="C23" s="249" t="str">
        <x:f>IF('16_WIND'!C28="","",'16_WIND'!C28)</x:f>
      </x:c>
      <x:c r="D23" s="140" t="str">
        <x:v>psf</x:v>
      </x:c>
      <x:c r="E23" s="140" t="str">
        <x:v>ASCE 7-22 Eq. 26.10-1; Kd is not included in qh in ASCE 7-22.</x:v>
      </x:c>
      <x:c r="F23" s="140"/>
      <x:c r="G23" s="140"/>
      <x:c r="H23" s="140"/>
    </x:row>
    <x:row r="24">
      <x:c r="B24" s="140"/>
      <x:c r="C24" s="140"/>
      <x:c r="D24" s="140"/>
      <x:c r="E24" s="140"/>
      <x:c r="F24" s="140"/>
      <x:c r="G24" s="140"/>
      <x:c r="H24" s="140"/>
    </x:row>
    <x:row r="25">
      <x:c r="B25" s="206" t="str">
        <x:v>STEP 2 — SELECTED MWFRS ZONE PRESSURE</x:v>
      </x:c>
      <x:c r="C25" s="206"/>
      <x:c r="D25" s="206"/>
      <x:c r="E25" s="206"/>
      <x:c r="F25" s="206"/>
      <x:c r="G25" s="206"/>
      <x:c r="H25" s="206"/>
    </x:row>
    <x:row r="26">
      <x:c r="B26" s="231" t="str">
        <x:v>Item</x:v>
      </x:c>
      <x:c r="C26" s="231" t="str">
        <x:v>Value</x:v>
      </x:c>
      <x:c r="D26" s="231" t="str">
        <x:v>Unit</x:v>
      </x:c>
      <x:c r="E26" s="231" t="str">
        <x:v>Source</x:v>
      </x:c>
      <x:c r="F26" s="140"/>
      <x:c r="G26" s="140"/>
      <x:c r="H26" s="140"/>
    </x:row>
    <x:row r="27">
      <x:c r="B27" s="140" t="str">
        <x:v>Selected zone</x:v>
      </x:c>
      <x:c r="C27" s="140" t="str">
        <x:f>IF(C7="","",C7)</x:f>
      </x:c>
      <x:c r="D27" s="140"/>
      <x:c r="E27" s="140" t="str">
        <x:v>16_WIND selection</x:v>
      </x:c>
      <x:c r="F27" s="140"/>
      <x:c r="G27" s="140"/>
      <x:c r="H27" s="140"/>
    </x:row>
    <x:row r="28">
      <x:c r="B28" s="140" t="str">
        <x:v>GCpf</x:v>
      </x:c>
      <x:c r="C28" s="249" t="str">
        <x:f>IF(C7="","",INDEX('16_WIND'!$D$38:$D$49,MATCH(C7,'16_WIND'!$B$38:$B$49,0)))</x:f>
      </x:c>
      <x:c r="D28" s="140" t="str"/>
      <x:c r="E28" s="140" t="str">
        <x:v>ASCE 7-22 Fig. 28.3-1 / licensed coefficient source</x:v>
      </x:c>
      <x:c r="F28" s="140"/>
      <x:c r="G28" s="140"/>
      <x:c r="H28" s="140"/>
    </x:row>
    <x:row r="29">
      <x:c r="B29" s="140" t="str">
        <x:v>p with +GCpi</x:v>
      </x:c>
      <x:c r="C29" s="249" t="str">
        <x:f>IF(C7="","",INDEX('16_WIND'!$E$38:$E$49,MATCH(C7,'16_WIND'!$B$38:$B$49,0)))</x:f>
      </x:c>
      <x:c r="D29" s="140" t="str">
        <x:v>psf</x:v>
      </x:c>
      <x:c r="E29" s="140" t="str">
        <x:v>Eq. 28.3-1</x:v>
      </x:c>
      <x:c r="F29" s="140"/>
      <x:c r="G29" s="140"/>
      <x:c r="H29" s="140"/>
    </x:row>
    <x:row r="30">
      <x:c r="B30" s="140" t="str">
        <x:v>p with −GCpi</x:v>
      </x:c>
      <x:c r="C30" s="249" t="str">
        <x:f>IF(C7="","",INDEX('16_WIND'!$F$38:$F$49,MATCH(C7,'16_WIND'!$B$38:$B$49,0)))</x:f>
      </x:c>
      <x:c r="D30" s="140" t="str">
        <x:v>psf</x:v>
      </x:c>
      <x:c r="E30" s="140" t="str">
        <x:v>Eq. 28.3-1</x:v>
      </x:c>
      <x:c r="F30" s="140"/>
      <x:c r="G30" s="140"/>
      <x:c r="H30" s="140"/>
    </x:row>
    <x:row r="31">
      <x:c r="B31" s="140" t="str">
        <x:v>Governing |p|</x:v>
      </x:c>
      <x:c r="C31" s="249" t="str">
        <x:f>IF(C7="","",INDEX('16_WIND'!$G$38:$G$49,MATCH(C7,'16_WIND'!$B$38:$B$49,0)))</x:f>
      </x:c>
      <x:c r="D31" s="140" t="str">
        <x:v>psf</x:v>
      </x:c>
      <x:c r="E31" s="140" t="str">
        <x:v>Absolute governing surface pressure</x:v>
      </x:c>
      <x:c r="F31" s="140"/>
      <x:c r="G31" s="140"/>
      <x:c r="H31" s="140"/>
    </x:row>
    <x:row r="32">
      <x:c r="B32" s="140"/>
      <x:c r="C32" s="140"/>
      <x:c r="D32" s="140"/>
      <x:c r="E32" s="140"/>
      <x:c r="F32" s="140"/>
      <x:c r="G32" s="140"/>
      <x:c r="H32" s="140"/>
    </x:row>
    <x:row r="33">
      <x:c r="B33" s="140" t="str">
        <x:v>Equation</x:v>
      </x:c>
      <x:c r="C33" s="140" t="str">
        <x:v>p = qh · Kd · [(GCpf) − (GCpi)]</x:v>
      </x:c>
      <x:c r="D33" s="140"/>
      <x:c r="E33" s="140"/>
      <x:c r="F33" s="140"/>
      <x:c r="G33" s="140"/>
      <x:c r="H33" s="140"/>
    </x:row>
    <x:row r="34">
      <x:c r="B34" s="140" t="str">
        <x:v>Substitution (+GCpi)</x:v>
      </x:c>
      <x:c r="C34" s="140" t="str">
        <x:f>IF(OR(C23="",C16="",C28="",C17=""),"","p = "&amp;TEXT(C23,"0.00")&amp;" × "&amp;TEXT(C16,"0.00")&amp;" × ("&amp;TEXT(C28,"0.000")&amp;" − "&amp;TEXT(C17,"0.00")&amp;") = "&amp;TEXT(C29,"0.00")&amp;" psf")</x:f>
      </x:c>
      <x:c r="D34" s="140"/>
      <x:c r="E34" s="140"/>
      <x:c r="F34" s="140"/>
      <x:c r="G34" s="140"/>
      <x:c r="H34" s="140"/>
    </x:row>
    <x:row r="35">
      <x:c r="B35" s="140" t="str">
        <x:v>Substitution (−GCpi)</x:v>
      </x:c>
      <x:c r="C35" s="140" t="str">
        <x:f>IF(OR(C23="",C16="",C28="",C18=""),"","p = "&amp;TEXT(C23,"0.00")&amp;" × "&amp;TEXT(C16,"0.00")&amp;" × ("&amp;TEXT(C28,"0.000")&amp;" − ("&amp;TEXT(C18,"0.00")&amp;")) = "&amp;TEXT(C30,"0.00")&amp;" psf")</x:f>
      </x:c>
      <x:c r="D35" s="140"/>
      <x:c r="E35" s="140"/>
      <x:c r="F35" s="140"/>
      <x:c r="G35" s="140"/>
      <x:c r="H35" s="140"/>
    </x:row>
    <x:row r="36">
      <x:c r="B36" s="140"/>
      <x:c r="C36" s="140"/>
      <x:c r="D36" s="140"/>
      <x:c r="E36" s="140"/>
      <x:c r="F36" s="140"/>
      <x:c r="G36" s="140"/>
      <x:c r="H36" s="140"/>
    </x:row>
    <x:row r="37">
      <x:c r="B37" s="244" t="str">
        <x:v>Review note: this page verifies the pressure arithmetic only. Selection of V, Exposure, Kzt, Ke, enclosure classification, Chapter 28 applicability, and GCpf/GCp remains a design-input review item until each source record is complete.</x:v>
      </x:c>
      <x:c r="C37" s="244"/>
      <x:c r="D37" s="244"/>
      <x:c r="E37" s="244"/>
      <x:c r="F37" s="244"/>
      <x:c r="G37" s="244"/>
      <x:c r="H37" s="244"/>
    </x:row>
    <x:row r="38">
      <x:c r="B38" s="244"/>
      <x:c r="C38" s="244"/>
      <x:c r="D38" s="244"/>
      <x:c r="E38" s="244"/>
      <x:c r="F38" s="244"/>
      <x:c r="G38" s="244"/>
      <x:c r="H38" s="244"/>
    </x:row>
  </x:sheetData>
  <x:mergeCells>
    <x:mergeCell ref="B2:H2"/>
    <x:mergeCell ref="B4:H4"/>
    <x:mergeCell ref="B20:H20"/>
    <x:mergeCell ref="C21:H21"/>
    <x:mergeCell ref="C22:H22"/>
    <x:mergeCell ref="E23:H23"/>
    <x:mergeCell ref="B25:H25"/>
    <x:mergeCell ref="C33:H33"/>
    <x:mergeCell ref="C34:H34"/>
    <x:mergeCell ref="C35:H35"/>
    <x:mergeCell ref="B37:H38"/>
  </x:mergeCells>
  <x:dataValidations count="1">
    <x:dataValidation type="list" sqref="C7">
      <x:formula1>'16_WIND'!$B$38:$B$49</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2" max="2" width="27" hidden="0" customWidth="1"/>
    <x:col min="3" max="3" width="20"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3" max="13" width="24" hidden="0" customWidth="1"/>
    <x:col min="14" max="14" width="38" hidden="0" customWidth="1"/>
    <x:col min="15" max="15" width="15" hidden="0" customWidth="1"/>
    <x:col min="16" max="16" width="15" hidden="0" customWidth="1"/>
    <x:col min="17" max="17" width="15" hidden="0" customWidth="1"/>
    <x:col min="18" max="18" width="34" hidden="0" customWidth="1"/>
  </x:cols>
  <x:sheetData>
    <x:row r="1">
      <x:c r="B1" s="140"/>
      <x:c r="C1" s="140"/>
      <x:c r="D1" s="140"/>
      <x:c r="E1" s="140"/>
      <x:c r="F1" s="140"/>
      <x:c r="G1" s="140"/>
      <x:c r="H1" s="140"/>
      <x:c r="I1" s="140"/>
      <x:c r="J1" s="140"/>
      <x:c r="K1" s="140"/>
      <x:c r="L1" s="140"/>
      <x:c r="M1" s="140"/>
      <x:c r="N1" s="140"/>
      <x:c r="O1" s="140"/>
      <x:c r="P1" s="140"/>
      <x:c r="Q1" s="140"/>
      <x:c r="R1" s="140"/>
    </x:row>
    <x:row r="2">
      <x:c r="B2" s="279" t="str">
        <x:v>SEISMIC DESIGN ENGINE — ASCE 7-22 / 2025 CBC</x:v>
      </x:c>
      <x:c r="C2" s="279"/>
      <x:c r="D2" s="279"/>
      <x:c r="E2" s="279"/>
      <x:c r="F2" s="279"/>
      <x:c r="G2" s="279"/>
      <x:c r="H2" s="279"/>
      <x:c r="I2" s="279"/>
      <x:c r="J2" s="279"/>
      <x:c r="K2" s="279"/>
      <x:c r="L2" s="140"/>
      <x:c r="M2" s="292" t="str">
        <x:v>LOCKED QA BENCHMARKS</x:v>
      </x:c>
      <x:c r="N2" s="292"/>
      <x:c r="O2" s="292"/>
      <x:c r="P2" s="292"/>
      <x:c r="Q2" s="292"/>
      <x:c r="R2" s="292"/>
    </x:row>
    <x:row r="3">
      <x:c r="B3" s="140"/>
      <x:c r="C3" s="140"/>
      <x:c r="D3" s="140"/>
      <x:c r="E3" s="140"/>
      <x:c r="F3" s="140"/>
      <x:c r="G3" s="140"/>
      <x:c r="H3" s="140"/>
      <x:c r="I3" s="140"/>
      <x:c r="J3" s="140"/>
      <x:c r="K3" s="140"/>
      <x:c r="L3" s="140"/>
      <x:c r="M3" s="303" t="str">
        <x:v>Test</x:v>
      </x:c>
      <x:c r="N3" s="303" t="str">
        <x:v>Inputs</x:v>
      </x:c>
      <x:c r="O3" s="303" t="str">
        <x:v>Expected</x:v>
      </x:c>
      <x:c r="P3" s="303" t="str">
        <x:v>Workbook</x:v>
      </x:c>
      <x:c r="Q3" s="303" t="str">
        <x:v>Abs Diff</x:v>
      </x:c>
      <x:c r="R3" s="303" t="str">
        <x:v>Status</x:v>
      </x:c>
    </x:row>
    <x:row r="4">
      <x:c r="B4" s="298" t="str">
        <x:v>Current scope: Equivalent Lateral Force (ELF) Method 2 using the two-period ASCE 7-22 design spectrum. USGS/ASCE hazard values are treated as sourced inputs; response-system coefficients remain controlled code-table inputs until a licensed standards library is integrated. Missing inputs remain blank/PENDING rather than being assumed.</x:v>
      </x:c>
      <x:c r="C4" s="298"/>
      <x:c r="D4" s="298"/>
      <x:c r="E4" s="298"/>
      <x:c r="F4" s="298"/>
      <x:c r="G4" s="298"/>
      <x:c r="H4" s="298"/>
      <x:c r="I4" s="298"/>
      <x:c r="J4" s="298"/>
      <x:c r="K4" s="298"/>
      <x:c r="L4" s="140"/>
      <x:c r="M4" s="140" t="str">
        <x:v>S-QA-01 Ta</x:v>
      </x:c>
      <x:c r="N4" s="140" t="str">
        <x:v>Ct=.02, hn=20, x=.75</x:v>
      </x:c>
      <x:c r="O4" s="140" t="n">
        <x:v>0.18914832180063518</x:v>
      </x:c>
      <x:c r="P4" s="140" t="n">
        <x:f>0.02*POWER(20,0.75)</x:f>
        <x:v>0.18914832180063518</x:v>
      </x:c>
      <x:c r="Q4" s="140" t="n">
        <x:f>IF(OR(O4="",P4=""),"",ABS(O4-P4))</x:f>
        <x:v>0</x:v>
      </x:c>
      <x:c r="R4" s="140" t="str">
        <x:f>IF(P4="","PENDING",IF(Q4&lt;=0.000001,"PASS","CHECK"))</x:f>
        <x:v>PASS</x:v>
      </x:c>
    </x:row>
    <x:row r="5">
      <x:c r="B5" s="140"/>
      <x:c r="C5" s="140"/>
      <x:c r="D5" s="140"/>
      <x:c r="E5" s="140"/>
      <x:c r="F5" s="140"/>
      <x:c r="G5" s="140"/>
      <x:c r="H5" s="140"/>
      <x:c r="I5" s="140"/>
      <x:c r="J5" s="140"/>
      <x:c r="K5" s="140"/>
      <x:c r="L5" s="140"/>
      <x:c r="M5" s="140" t="str">
        <x:v>S-QA-02 Cs short</x:v>
      </x:c>
      <x:c r="N5" s="140" t="str">
        <x:v>SDS=1, SD1=.6, S1=.8, T=.4, R=6.5, Ie=1</x:v>
      </x:c>
      <x:c r="O5" s="140" t="n">
        <x:v>0.15384615384615385</x:v>
      </x:c>
      <x:c r="P5" s="140" t="n">
        <x:f>MAX(MAX(0.044*1*1,0.01),0.5*0.8/(6.5/1),MIN(1/(6.5/1),0.6/(0.4*(6.5/1))))</x:f>
        <x:v>0.15384615384615385</x:v>
      </x:c>
      <x:c r="Q5" s="140" t="n">
        <x:f>IF(OR(O5="",P5=""),"",ABS(O5-P5))</x:f>
        <x:v>0</x:v>
      </x:c>
      <x:c r="R5" s="140" t="str">
        <x:f>IF(P5="","PENDING",IF(Q5&lt;=0.000001,"PASS","CHECK"))</x:f>
        <x:v>PASS</x:v>
      </x:c>
    </x:row>
    <x:row r="6">
      <x:c r="B6" s="292" t="str">
        <x:v>DESIGN BASIS &amp; HAZARD PARAMETERS</x:v>
      </x:c>
      <x:c r="C6" s="292"/>
      <x:c r="D6" s="292"/>
      <x:c r="E6" s="292"/>
      <x:c r="F6" s="292"/>
      <x:c r="G6" s="140"/>
      <x:c r="H6" s="140"/>
      <x:c r="I6" s="140"/>
      <x:c r="J6" s="140"/>
      <x:c r="K6" s="140"/>
      <x:c r="L6" s="140"/>
      <x:c r="M6" s="140" t="str">
        <x:v>S-QA-03 Cs upper</x:v>
      </x:c>
      <x:c r="N6" s="140" t="str">
        <x:v>SDS=1, SD1=.4, S1=.5, T=1, R=6.5, Ie=1</x:v>
      </x:c>
      <x:c r="O6" s="140" t="n">
        <x:v>0.06153846153846154</x:v>
      </x:c>
      <x:c r="P6" s="140" t="n">
        <x:f>MAX(MAX(0.044*1,0.01),0,MIN(1/6.5,0.4/(1*6.5)))</x:f>
        <x:v>0.06153846153846154</x:v>
      </x:c>
      <x:c r="Q6" s="140" t="n">
        <x:f>IF(OR(O6="",P6=""),"",ABS(O6-P6))</x:f>
        <x:v>0</x:v>
      </x:c>
      <x:c r="R6" s="140" t="str">
        <x:f>IF(P6="","PENDING",IF(Q6&lt;=0.000001,"PASS","CHECK"))</x:f>
        <x:v>PASS</x:v>
      </x:c>
    </x:row>
    <x:row r="7">
      <x:c r="B7" s="303" t="str">
        <x:v>Parameter</x:v>
      </x:c>
      <x:c r="C7" s="303" t="str">
        <x:v>Value</x:v>
      </x:c>
      <x:c r="D7" s="303" t="str">
        <x:v>Unit</x:v>
      </x:c>
      <x:c r="E7" s="303" t="str">
        <x:v>Source / Basis</x:v>
      </x:c>
      <x:c r="F7" s="303" t="str">
        <x:v>Status</x:v>
      </x:c>
      <x:c r="G7" s="140"/>
      <x:c r="H7" s="140"/>
      <x:c r="I7" s="140"/>
      <x:c r="J7" s="140"/>
      <x:c r="K7" s="140"/>
      <x:c r="L7" s="140"/>
      <x:c r="M7" s="140" t="str">
        <x:v>S-QA-04 k</x:v>
      </x:c>
      <x:c r="N7" s="140" t="str">
        <x:v>T=1.5 sec</x:v>
      </x:c>
      <x:c r="O7" s="140" t="n">
        <x:v>1.5</x:v>
      </x:c>
      <x:c r="P7" s="140" t="n">
        <x:f>1+(1.5-0.5)/2</x:f>
        <x:v>1.5</x:v>
      </x:c>
      <x:c r="Q7" s="140" t="n">
        <x:f>IF(OR(O7="",P7=""),"",ABS(O7-P7))</x:f>
        <x:v>0</x:v>
      </x:c>
      <x:c r="R7" s="140" t="str">
        <x:f>IF(P7="","PENDING",IF(Q7&lt;=0.000001,"PASS","CHECK"))</x:f>
        <x:v>PASS</x:v>
      </x:c>
    </x:row>
    <x:row r="8">
      <x:c r="B8" s="140" t="str">
        <x:v>Risk Category</x:v>
      </x:c>
      <x:c r="C8" s="304" t="str">
        <x:f>IF('01_INPUTS'!C19="","",'01_INPUTS'!C19)</x:f>
      </x:c>
      <x:c r="D8" s="140"/>
      <x:c r="E8" s="140" t="str">
        <x:v>01_INPUTS / CBC / ASCE 7-22</x:v>
      </x:c>
      <x:c r="F8" s="140" t="str">
        <x:f>IF(C8="","MISSING","AVAILABLE")</x:f>
        <x:v>MISSING</x:v>
      </x:c>
      <x:c r="G8" s="140"/>
      <x:c r="H8" s="140"/>
      <x:c r="I8" s="140"/>
      <x:c r="J8" s="140"/>
      <x:c r="K8" s="140"/>
      <x:c r="L8" s="140"/>
      <x:c r="M8" s="140" t="str">
        <x:v>S-QA-05 Fx top</x:v>
      </x:c>
      <x:c r="N8" s="140" t="str">
        <x:v>V=100; h=10/20/30; w=100 each; k=1</x:v>
      </x:c>
      <x:c r="O8" s="140" t="n">
        <x:v>50</x:v>
      </x:c>
      <x:c r="P8" s="140" t="n">
        <x:f>100*((100*30)/(100*10+100*20+100*30))</x:f>
        <x:v>50</x:v>
      </x:c>
      <x:c r="Q8" s="140" t="n">
        <x:f>IF(OR(O8="",P8=""),"",ABS(O8-P8))</x:f>
        <x:v>0</x:v>
      </x:c>
      <x:c r="R8" s="140" t="str">
        <x:f>IF(P8="","PENDING",IF(Q8&lt;=0.000001,"PASS","CHECK"))</x:f>
        <x:v>PASS</x:v>
      </x:c>
    </x:row>
    <x:row r="9">
      <x:c r="B9" s="140" t="str">
        <x:v>Seismic Importance Factor Ie</x:v>
      </x:c>
      <x:c r="C9" s="304" t="str">
        <x:f>IF(C8="","",IF(OR(C8="I",C8="II",C8=1,C8=2),1,IF(OR(C8="III",C8=3),1.25,IF(OR(C8="IV",C8=4),1.5,""))))</x:f>
      </x:c>
      <x:c r="D9" s="140"/>
      <x:c r="E9" s="140" t="str">
        <x:v>ASCE 7-22 Table 1.5-2</x:v>
      </x:c>
      <x:c r="F9" s="140" t="str">
        <x:f>IF(C9="","REVIEW RISK CATEGORY","DERIVED")</x:f>
        <x:v>REVIEW RISK CATEGORY</x:v>
      </x:c>
      <x:c r="G9" s="140"/>
      <x:c r="H9" s="140"/>
      <x:c r="I9" s="140"/>
      <x:c r="J9" s="140"/>
      <x:c r="K9" s="140"/>
      <x:c r="L9" s="140"/>
      <x:c r="M9" s="140" t="str">
        <x:v>Seismic benchmark overall</x:v>
      </x:c>
      <x:c r="N9" s="140"/>
      <x:c r="O9" s="140"/>
      <x:c r="P9" s="140"/>
      <x:c r="Q9" s="140"/>
      <x:c r="R9" s="140" t="str">
        <x:f>IF(COUNTIF(R4:R8,"CHECK")&gt;0,"CHECK",IF(COUNTIF(R4:R8,"PASS")=5,"PASS","PENDING"))</x:f>
        <x:v>PASS</x:v>
      </x:c>
    </x:row>
    <x:row r="10">
      <x:c r="B10" s="140" t="str">
        <x:v>Site Class</x:v>
      </x:c>
      <x:c r="C10" s="304" t="str">
        <x:f>IF('01_INPUTS'!C22="","",'01_INPUTS'!C22)</x:f>
      </x:c>
      <x:c r="D10" s="140"/>
      <x:c r="E10" s="140" t="str">
        <x:v>01_INPUTS / geotechnical basis</x:v>
      </x:c>
      <x:c r="F10" s="140" t="str">
        <x:f>IF(C10="","MISSING","AVAILABLE")</x:f>
        <x:v>MISSING</x:v>
      </x:c>
      <x:c r="G10" s="140"/>
      <x:c r="H10" s="140"/>
      <x:c r="I10" s="140"/>
      <x:c r="J10" s="140"/>
      <x:c r="K10" s="140"/>
      <x:c r="L10" s="140"/>
      <x:c r="M10" s="140"/>
      <x:c r="N10" s="140"/>
      <x:c r="O10" s="140"/>
      <x:c r="P10" s="140"/>
      <x:c r="Q10" s="140"/>
      <x:c r="R10" s="140"/>
    </x:row>
    <x:row r="11">
      <x:c r="B11" s="140" t="str">
        <x:v>SDS</x:v>
      </x:c>
      <x:c r="C11" s="304" t="str">
        <x:f>IF('01_INPUTS'!C52="","",'01_INPUTS'!C52)</x:f>
      </x:c>
      <x:c r="D11" s="140" t="str">
        <x:v>g</x:v>
      </x:c>
      <x:c r="E11" s="140" t="str">
        <x:v>USGS ASCE 7-22 service</x:v>
      </x:c>
      <x:c r="F11" s="140" t="str">
        <x:f>IF(C11="","MISSING","AVAILABLE")</x:f>
        <x:v>MISSING</x:v>
      </x:c>
      <x:c r="G11" s="140"/>
      <x:c r="H11" s="140"/>
      <x:c r="I11" s="140"/>
      <x:c r="J11" s="140"/>
      <x:c r="K11" s="140"/>
      <x:c r="L11" s="140"/>
      <x:c r="M11" s="292" t="str">
        <x:v>SOURCE / VERIFICATION REGISTER</x:v>
      </x:c>
      <x:c r="N11" s="292"/>
      <x:c r="O11" s="292"/>
      <x:c r="P11" s="292"/>
      <x:c r="Q11" s="292"/>
      <x:c r="R11" s="292"/>
    </x:row>
    <x:row r="12">
      <x:c r="B12" s="140" t="str">
        <x:v>SD1</x:v>
      </x:c>
      <x:c r="C12" s="304" t="str">
        <x:f>IF('01_INPUTS'!C53="","",'01_INPUTS'!C53)</x:f>
      </x:c>
      <x:c r="D12" s="140" t="str">
        <x:v>g</x:v>
      </x:c>
      <x:c r="E12" s="140" t="str">
        <x:v>USGS ASCE 7-22 service</x:v>
      </x:c>
      <x:c r="F12" s="140" t="str">
        <x:f>IF(C12="","MISSING","AVAILABLE")</x:f>
        <x:v>MISSING</x:v>
      </x:c>
      <x:c r="G12" s="140"/>
      <x:c r="H12" s="140"/>
      <x:c r="I12" s="140"/>
      <x:c r="J12" s="140"/>
      <x:c r="K12" s="140"/>
      <x:c r="L12" s="140"/>
      <x:c r="M12" s="303" t="str">
        <x:v>Source</x:v>
      </x:c>
      <x:c r="N12" s="303" t="str">
        <x:v>Use</x:v>
      </x:c>
      <x:c r="O12" s="303" t="str">
        <x:v>Authority</x:v>
      </x:c>
      <x:c r="P12" s="303" t="str">
        <x:v>Class</x:v>
      </x:c>
      <x:c r="Q12" s="303" t="str">
        <x:v>Verified</x:v>
      </x:c>
      <x:c r="R12" s="303" t="str">
        <x:v>URL</x:v>
      </x:c>
    </x:row>
    <x:row r="13">
      <x:c r="B13" s="140" t="str">
        <x:v>Ss</x:v>
      </x:c>
      <x:c r="C13" s="304" t="str">
        <x:f>IF('01_INPUTS'!C78="","",'01_INPUTS'!C78)</x:f>
      </x:c>
      <x:c r="D13" s="140" t="str">
        <x:v>g</x:v>
      </x:c>
      <x:c r="E13" s="140" t="str">
        <x:v>USGS ASCE 7-22 service</x:v>
      </x:c>
      <x:c r="F13" s="140" t="str">
        <x:f>IF(C13="","MISSING","AVAILABLE")</x:f>
        <x:v>MISSING</x:v>
      </x:c>
      <x:c r="G13" s="140"/>
      <x:c r="H13" s="140"/>
      <x:c r="I13" s="140"/>
      <x:c r="J13" s="140"/>
      <x:c r="K13" s="140"/>
      <x:c r="L13" s="140"/>
      <x:c r="M13" s="140" t="str">
        <x:v>USGS ASCE7-22 Web Service</x:v>
      </x:c>
      <x:c r="N13" s="140" t="str">
        <x:v>Hazard values, spectra, SDC</x:v>
      </x:c>
      <x:c r="O13" s="140" t="str">
        <x:v>USGS</x:v>
      </x:c>
      <x:c r="P13" s="140" t="str">
        <x:v>Primary hazard</x:v>
      </x:c>
      <x:c r="Q13" s="140" t="str">
        <x:v>2026-09-18</x:v>
      </x:c>
      <x:c r="R13" s="140" t="str">
        <x:v>https://earthquake.usgs.gov/ws/building-codes/asce7-22</x:v>
      </x:c>
    </x:row>
    <x:row r="14">
      <x:c r="B14" s="140" t="str">
        <x:v>S1</x:v>
      </x:c>
      <x:c r="C14" s="304" t="str">
        <x:f>IF('01_INPUTS'!C77="","",'01_INPUTS'!C77)</x:f>
      </x:c>
      <x:c r="D14" s="140" t="str">
        <x:v>g</x:v>
      </x:c>
      <x:c r="E14" s="140" t="str">
        <x:v>USGS ASCE 7-22 service</x:v>
      </x:c>
      <x:c r="F14" s="140" t="str">
        <x:f>IF(C14="","MISSING","AVAILABLE")</x:f>
        <x:v>MISSING</x:v>
      </x:c>
      <x:c r="G14" s="140"/>
      <x:c r="H14" s="140"/>
      <x:c r="I14" s="140"/>
      <x:c r="J14" s="140"/>
      <x:c r="K14" s="140"/>
      <x:c r="L14" s="140"/>
      <x:c r="M14" s="140" t="str">
        <x:v>USGS Design Ground Motions Portal</x:v>
      </x:c>
      <x:c r="N14" s="140" t="str">
        <x:v>Service/data documentation</x:v>
      </x:c>
      <x:c r="O14" s="140" t="str">
        <x:v>USGS</x:v>
      </x:c>
      <x:c r="P14" s="140" t="str">
        <x:v>Primary documentation</x:v>
      </x:c>
      <x:c r="Q14" s="140" t="str">
        <x:v>2026-09-18</x:v>
      </x:c>
      <x:c r="R14" s="140" t="str">
        <x:v>https://www.usgs.gov/programs/earthquake-hazards/design-ground-motions-portal</x:v>
      </x:c>
    </x:row>
    <x:row r="15">
      <x:c r="B15" s="140" t="str">
        <x:v>TL</x:v>
      </x:c>
      <x:c r="C15" s="304" t="str">
        <x:f>IF('01_INPUTS'!C55="","",'01_INPUTS'!C55)</x:f>
      </x:c>
      <x:c r="D15" s="140" t="str">
        <x:v>sec</x:v>
      </x:c>
      <x:c r="E15" s="140" t="str">
        <x:v>USGS ASCE 7-22 service</x:v>
      </x:c>
      <x:c r="F15" s="140" t="str">
        <x:f>IF(C15="","MISSING","AVAILABLE")</x:f>
        <x:v>MISSING</x:v>
      </x:c>
      <x:c r="G15" s="140"/>
      <x:c r="H15" s="140"/>
      <x:c r="I15" s="140"/>
      <x:c r="J15" s="140"/>
      <x:c r="K15" s="140"/>
      <x:c r="L15" s="140"/>
      <x:c r="M15" s="140" t="str">
        <x:v>ASCE 7-22 Chapter 12</x:v>
      </x:c>
      <x:c r="N15" s="140" t="str">
        <x:v>ELF / building seismic design</x:v>
      </x:c>
      <x:c r="O15" s="140" t="str">
        <x:v>ASCE</x:v>
      </x:c>
      <x:c r="P15" s="140" t="str">
        <x:v>Primary standard</x:v>
      </x:c>
      <x:c r="Q15" s="140" t="str">
        <x:v>2026-09-18</x:v>
      </x:c>
      <x:c r="R15" s="140" t="str">
        <x:v>https://amplify.asce.org/content/standard/9780784415788/part/provisions/standard-chapter/s12</x:v>
      </x:c>
    </x:row>
    <x:row r="16">
      <x:c r="B16" s="140" t="str">
        <x:v>Ts = SD1/SDS</x:v>
      </x:c>
      <x:c r="C16" s="304" t="str">
        <x:f>IF(OR(C11="",C12="",C11=0),"",C12/C11)</x:f>
      </x:c>
      <x:c r="D16" s="140" t="str">
        <x:v>sec</x:v>
      </x:c>
      <x:c r="E16" s="140" t="str">
        <x:v>ASCE 7-22 two-period spectrum</x:v>
      </x:c>
      <x:c r="F16" s="140" t="str">
        <x:f>IF(C16="","PENDING","CALCULATED")</x:f>
        <x:v>PENDING</x:v>
      </x:c>
      <x:c r="G16" s="140"/>
      <x:c r="H16" s="140"/>
      <x:c r="I16" s="140"/>
      <x:c r="J16" s="140"/>
      <x:c r="K16" s="140"/>
      <x:c r="L16" s="140"/>
      <x:c r="M16" s="140" t="str">
        <x:v>ICC Demystifying Loads</x:v>
      </x:c>
      <x:c r="N16" s="140" t="str">
        <x:v>Method 2 equation cross-check</x:v>
      </x:c>
      <x:c r="O16" s="140" t="str">
        <x:v>ICC</x:v>
      </x:c>
      <x:c r="P16" s="140" t="str">
        <x:v>Secondary QA</x:v>
      </x:c>
      <x:c r="Q16" s="140" t="str">
        <x:v>2026-09-18</x:v>
      </x:c>
      <x:c r="R16" s="140" t="str">
        <x:v>https://www.iccsafe.org/wp-content/uploads/DemystifyingLoads_24IBC_ASCE7-22_EC-85122-Part2.pdf</x:v>
      </x:c>
    </x:row>
    <x:row r="17">
      <x:c r="B17" s="140" t="str">
        <x:v>T0 = 0.2Ts</x:v>
      </x:c>
      <x:c r="C17" s="304" t="str">
        <x:f>IF(C16="","",0.2*C16)</x:f>
      </x:c>
      <x:c r="D17" s="140" t="str">
        <x:v>sec</x:v>
      </x:c>
      <x:c r="E17" s="140" t="str">
        <x:v>ASCE 7-22 two-period spectrum</x:v>
      </x:c>
      <x:c r="F17" s="140" t="str">
        <x:f>IF(C17="","PENDING","CALCULATED")</x:f>
        <x:v>PENDING</x:v>
      </x:c>
      <x:c r="G17" s="140"/>
      <x:c r="H17" s="140"/>
      <x:c r="I17" s="140"/>
      <x:c r="J17" s="140"/>
      <x:c r="K17" s="140"/>
      <x:c r="L17" s="140"/>
      <x:c r="M17" s="140" t="str">
        <x:v>FEMA NEHRP Design Examples</x:v>
      </x:c>
      <x:c r="N17" s="140" t="str">
        <x:v>Base shear / ELF independent example</x:v>
      </x:c>
      <x:c r="O17" s="140" t="str">
        <x:v>FEMA</x:v>
      </x:c>
      <x:c r="P17" s="140" t="str">
        <x:v>Secondary QA</x:v>
      </x:c>
      <x:c r="Q17" s="140" t="str">
        <x:v>2026-09-18</x:v>
      </x:c>
      <x:c r="R17" s="140" t="str">
        <x:v>https://www.fema.gov/sites/default/files/documents/fema_nehrp_design-examples-training-materials_volume-1.pdf</x:v>
      </x:c>
    </x:row>
    <x:row r="18">
      <x:c r="B18" s="140" t="str">
        <x:v>Seismic Design Category</x:v>
      </x:c>
      <x:c r="C18" s="304" t="str">
        <x:f>IF('01_INPUTS'!C54="","",'01_INPUTS'!C54)</x:f>
      </x:c>
      <x:c r="D18" s="140"/>
      <x:c r="E18" s="140" t="str">
        <x:v>USGS / ASCE 7-22 §11.6</x:v>
      </x:c>
      <x:c r="F18" s="140" t="str">
        <x:f>IF(C18="","MISSING","AVAILABLE")</x:f>
        <x:v>MISSING</x:v>
      </x:c>
      <x:c r="G18" s="140"/>
      <x:c r="H18" s="140"/>
      <x:c r="I18" s="140"/>
      <x:c r="J18" s="140"/>
      <x:c r="K18" s="140"/>
      <x:c r="L18" s="140"/>
      <x:c r="M18" s="140"/>
      <x:c r="N18" s="140"/>
      <x:c r="O18" s="140"/>
      <x:c r="P18" s="140"/>
      <x:c r="Q18" s="140"/>
      <x:c r="R18" s="140"/>
    </x:row>
    <x:row r="19">
      <x:c r="B19" s="140" t="str">
        <x:v>Effective Seismic Weight W</x:v>
      </x:c>
      <x:c r="C19" s="304" t="str">
        <x:f>IF('01_INPUTS'!C80&lt;&gt;"",'01_INPUTS'!C80,IF(COUNT('01_INPUTS'!C105,'01_INPUTS'!C107,'01_INPUTS'!C109,'01_INPUTS'!C111,'01_INPUTS'!C113,'01_INPUTS'!C115)=0,"",SUM('01_INPUTS'!C105,'01_INPUTS'!C107,'01_INPUTS'!C109,'01_INPUTS'!C111,'01_INPUTS'!C113,'01_INPUTS'!C115)))</x:f>
      </x:c>
      <x:c r="D19" s="140" t="str">
        <x:v>kips</x:v>
      </x:c>
      <x:c r="E19" s="140" t="str">
        <x:v>ASCE 7-22 §12.7.2</x:v>
      </x:c>
      <x:c r="F19" s="140" t="str">
        <x:f>IF(C19="","MISSING","AVAILABLE")</x:f>
        <x:v>MISSING</x:v>
      </x:c>
      <x:c r="G19" s="140"/>
      <x:c r="H19" s="140"/>
      <x:c r="I19" s="140"/>
      <x:c r="J19" s="140"/>
      <x:c r="K19" s="140"/>
      <x:c r="L19" s="140"/>
      <x:c r="M19" s="140"/>
      <x:c r="N19" s="140"/>
      <x:c r="O19" s="140"/>
      <x:c r="P19" s="140"/>
      <x:c r="Q19" s="140"/>
      <x:c r="R19" s="140"/>
    </x:row>
    <x:row r="20">
      <x:c r="B20" s="140" t="str">
        <x:v>Structural Height hn</x:v>
      </x:c>
      <x:c r="C20" s="304" t="str">
        <x:f>IF('01_INPUTS'!C79&lt;&gt;"",'01_INPUTS'!C79,IF(COUNT('01_INPUTS'!C104,'01_INPUTS'!C106,'01_INPUTS'!C108,'01_INPUTS'!C110,'01_INPUTS'!C112,'01_INPUTS'!C114)=0,"",MAX('01_INPUTS'!C104,'01_INPUTS'!C106,'01_INPUTS'!C108,'01_INPUTS'!C110,'01_INPUTS'!C112,'01_INPUTS'!C114)))</x:f>
      </x:c>
      <x:c r="D20" s="140" t="str">
        <x:v>ft</x:v>
      </x:c>
      <x:c r="E20" s="140" t="str">
        <x:v>Project geometry / level inputs</x:v>
      </x:c>
      <x:c r="F20" s="140" t="str">
        <x:f>IF(C20="","MISSING","AVAILABLE")</x:f>
        <x:v>MISSING</x:v>
      </x:c>
      <x:c r="G20" s="140"/>
      <x:c r="H20" s="140"/>
      <x:c r="I20" s="140"/>
      <x:c r="J20" s="140"/>
      <x:c r="K20" s="140"/>
      <x:c r="L20" s="140"/>
      <x:c r="M20" s="140"/>
      <x:c r="N20" s="140"/>
      <x:c r="O20" s="140"/>
      <x:c r="P20" s="140"/>
      <x:c r="Q20" s="140"/>
      <x:c r="R20" s="140"/>
    </x:row>
    <x:row r="21">
      <x:c r="B21" s="140" t="str">
        <x:v>API Request</x:v>
      </x:c>
      <x:c r="C21" s="304" t="str">
        <x:f>IF('02_CRITERIA'!C33="","",'02_CRITERIA'!C33)</x:f>
      </x:c>
      <x:c r="D21" s="140"/>
      <x:c r="E21" s="140" t="str">
        <x:v>02_CRITERIA</x:v>
      </x:c>
      <x:c r="F21" s="140"/>
      <x:c r="G21" s="140"/>
      <x:c r="H21" s="140"/>
      <x:c r="I21" s="140"/>
      <x:c r="J21" s="140"/>
      <x:c r="K21" s="140"/>
      <x:c r="L21" s="140"/>
      <x:c r="M21" s="140"/>
      <x:c r="N21" s="140"/>
      <x:c r="O21" s="140"/>
      <x:c r="P21" s="140"/>
      <x:c r="Q21" s="140"/>
      <x:c r="R21" s="140"/>
    </x:row>
    <x:row r="22">
      <x:c r="B22" s="140"/>
      <x:c r="C22" s="140"/>
      <x:c r="D22" s="140"/>
      <x:c r="E22" s="140"/>
      <x:c r="F22" s="140"/>
      <x:c r="G22" s="140"/>
      <x:c r="H22" s="140"/>
      <x:c r="I22" s="140"/>
      <x:c r="J22" s="140"/>
      <x:c r="K22" s="140"/>
      <x:c r="L22" s="140"/>
      <x:c r="M22" s="140"/>
      <x:c r="N22" s="140"/>
      <x:c r="O22" s="140"/>
      <x:c r="P22" s="140"/>
      <x:c r="Q22" s="140"/>
      <x:c r="R22" s="140"/>
    </x:row>
    <x:row r="23">
      <x:c r="B23" s="140"/>
      <x:c r="C23" s="140"/>
      <x:c r="D23" s="140"/>
      <x:c r="E23" s="140"/>
      <x:c r="F23" s="140"/>
      <x:c r="G23" s="140"/>
      <x:c r="H23" s="140"/>
      <x:c r="I23" s="140"/>
      <x:c r="J23" s="140"/>
      <x:c r="K23" s="140"/>
      <x:c r="L23" s="140"/>
      <x:c r="M23" s="140"/>
      <x:c r="N23" s="140"/>
      <x:c r="O23" s="140"/>
      <x:c r="P23" s="140"/>
      <x:c r="Q23" s="140"/>
      <x:c r="R23" s="140"/>
    </x:row>
    <x:row r="24">
      <x:c r="B24" s="292" t="str">
        <x:v>ELF METHOD 2 — PERIOD, RESPONSE COEFFICIENT &amp; BASE SHEAR</x:v>
      </x:c>
      <x:c r="C24" s="292"/>
      <x:c r="D24" s="292"/>
      <x:c r="E24" s="292"/>
      <x:c r="F24" s="292"/>
      <x:c r="G24" s="292"/>
      <x:c r="H24" s="292"/>
      <x:c r="I24" s="292"/>
      <x:c r="J24" s="292"/>
      <x:c r="K24" s="292"/>
      <x:c r="L24" s="140"/>
      <x:c r="M24" s="140"/>
      <x:c r="N24" s="140"/>
      <x:c r="O24" s="140"/>
      <x:c r="P24" s="140"/>
      <x:c r="Q24" s="140"/>
      <x:c r="R24" s="140"/>
    </x:row>
    <x:row r="25">
      <x:c r="B25" s="303" t="str">
        <x:v>Direction</x:v>
      </x:c>
      <x:c r="C25" s="303" t="str">
        <x:v>System</x:v>
      </x:c>
      <x:c r="D25" s="303" t="str">
        <x:v>R</x:v>
      </x:c>
      <x:c r="E25" s="303" t="str">
        <x:v>Ω0</x:v>
      </x:c>
      <x:c r="F25" s="303" t="str">
        <x:v>Cd</x:v>
      </x:c>
      <x:c r="G25" s="303" t="str">
        <x:v>Ct</x:v>
      </x:c>
      <x:c r="H25" s="303" t="str">
        <x:v>x</x:v>
      </x:c>
      <x:c r="I25" s="303" t="str">
        <x:v>Cu</x:v>
      </x:c>
      <x:c r="J25" s="303" t="str">
        <x:v>Analytical T</x:v>
      </x:c>
      <x:c r="K25" s="303" t="str">
        <x:v>ρ</x:v>
      </x:c>
      <x:c r="L25" s="140"/>
      <x:c r="M25" s="140"/>
      <x:c r="N25" s="140"/>
      <x:c r="O25" s="140"/>
      <x:c r="P25" s="140"/>
      <x:c r="Q25" s="140"/>
      <x:c r="R25" s="140"/>
    </x:row>
    <x:row r="26">
      <x:c r="B26" s="140" t="str">
        <x:v>X</x:v>
      </x:c>
      <x:c r="C26" s="140" t="str">
        <x:f>IF('01_INPUTS'!C81="","",'01_INPUTS'!C81)</x:f>
      </x:c>
      <x:c r="D26" s="140" t="str">
        <x:f>IF('01_INPUTS'!C83="","",'01_INPUTS'!C83)</x:f>
      </x:c>
      <x:c r="E26" s="140" t="str">
        <x:f>IF('01_INPUTS'!C85="","",'01_INPUTS'!C85)</x:f>
      </x:c>
      <x:c r="F26" s="140" t="str">
        <x:f>IF('01_INPUTS'!C87="","",'01_INPUTS'!C87)</x:f>
      </x:c>
      <x:c r="G26" s="140" t="str">
        <x:f>IF('01_INPUTS'!C89="","",'01_INPUTS'!C89)</x:f>
      </x:c>
      <x:c r="H26" s="140" t="str">
        <x:f>IF('01_INPUTS'!C90="","",'01_INPUTS'!C90)</x:f>
      </x:c>
      <x:c r="I26" s="140" t="str">
        <x:f>IF('01_INPUTS'!C93="","",'01_INPUTS'!C93)</x:f>
      </x:c>
      <x:c r="J26" s="140" t="str">
        <x:f>IF('01_INPUTS'!C94="","",'01_INPUTS'!C94)</x:f>
      </x:c>
      <x:c r="K26" s="140" t="str">
        <x:f>IF('01_INPUTS'!C96="","",'01_INPUTS'!C96)</x:f>
      </x:c>
      <x:c r="L26" s="140"/>
      <x:c r="M26" s="140"/>
      <x:c r="N26" s="140"/>
      <x:c r="O26" s="140"/>
      <x:c r="P26" s="140"/>
      <x:c r="Q26" s="140"/>
      <x:c r="R26" s="140"/>
    </x:row>
    <x:row r="27">
      <x:c r="B27" s="140" t="str">
        <x:v>Y</x:v>
      </x:c>
      <x:c r="C27" s="140" t="str">
        <x:f>IF('01_INPUTS'!C82="","",'01_INPUTS'!C82)</x:f>
      </x:c>
      <x:c r="D27" s="140" t="str">
        <x:f>IF('01_INPUTS'!C84="","",'01_INPUTS'!C84)</x:f>
      </x:c>
      <x:c r="E27" s="140" t="str">
        <x:f>IF('01_INPUTS'!C86="","",'01_INPUTS'!C86)</x:f>
      </x:c>
      <x:c r="F27" s="140" t="str">
        <x:f>IF('01_INPUTS'!C88="","",'01_INPUTS'!C88)</x:f>
      </x:c>
      <x:c r="G27" s="140" t="str">
        <x:f>IF('01_INPUTS'!C91="","",'01_INPUTS'!C91)</x:f>
      </x:c>
      <x:c r="H27" s="140" t="str">
        <x:f>IF('01_INPUTS'!C92="","",'01_INPUTS'!C92)</x:f>
      </x:c>
      <x:c r="I27" s="140" t="str">
        <x:f>IF('01_INPUTS'!C93="","",'01_INPUTS'!C93)</x:f>
      </x:c>
      <x:c r="J27" s="140" t="str">
        <x:f>IF('01_INPUTS'!C95="","",'01_INPUTS'!C95)</x:f>
      </x:c>
      <x:c r="K27" s="140" t="str">
        <x:f>IF('01_INPUTS'!C97="","",'01_INPUTS'!C97)</x:f>
      </x:c>
      <x:c r="L27" s="140"/>
      <x:c r="M27" s="140"/>
      <x:c r="N27" s="140"/>
      <x:c r="O27" s="140"/>
      <x:c r="P27" s="140"/>
      <x:c r="Q27" s="140"/>
      <x:c r="R27" s="140"/>
    </x:row>
    <x:row r="28">
      <x:c r="B28" s="140"/>
      <x:c r="C28" s="140"/>
      <x:c r="D28" s="140"/>
      <x:c r="E28" s="140"/>
      <x:c r="F28" s="140"/>
      <x:c r="G28" s="140"/>
      <x:c r="H28" s="140"/>
      <x:c r="I28" s="140"/>
      <x:c r="J28" s="140"/>
      <x:c r="K28" s="140"/>
      <x:c r="L28" s="140"/>
      <x:c r="M28" s="140"/>
      <x:c r="N28" s="140"/>
      <x:c r="O28" s="140"/>
      <x:c r="P28" s="140"/>
      <x:c r="Q28" s="140"/>
      <x:c r="R28" s="140"/>
    </x:row>
    <x:row r="29">
      <x:c r="B29" s="140"/>
      <x:c r="C29" s="140"/>
      <x:c r="D29" s="140"/>
      <x:c r="E29" s="140"/>
      <x:c r="F29" s="140"/>
      <x:c r="G29" s="140"/>
      <x:c r="H29" s="140"/>
      <x:c r="I29" s="140"/>
      <x:c r="J29" s="140"/>
      <x:c r="K29" s="140"/>
      <x:c r="L29" s="140"/>
      <x:c r="M29" s="140"/>
      <x:c r="N29" s="140"/>
      <x:c r="O29" s="140"/>
      <x:c r="P29" s="140"/>
      <x:c r="Q29" s="140"/>
      <x:c r="R29" s="140"/>
    </x:row>
    <x:row r="30">
      <x:c r="B30" s="303" t="str">
        <x:v>Direction</x:v>
      </x:c>
      <x:c r="C30" s="303" t="str">
        <x:v>Ta = Ct·hn^x</x:v>
      </x:c>
      <x:c r="D30" s="303" t="str">
        <x:v>Cu·Ta</x:v>
      </x:c>
      <x:c r="E30" s="303" t="str">
        <x:v>T used</x:v>
      </x:c>
      <x:c r="F30" s="303" t="str">
        <x:v>Cs initial</x:v>
      </x:c>
      <x:c r="G30" s="303" t="str">
        <x:v>Cs upper</x:v>
      </x:c>
      <x:c r="H30" s="303" t="str">
        <x:v>Cs lower 1</x:v>
      </x:c>
      <x:c r="I30" s="303" t="str">
        <x:v>Cs lower 2</x:v>
      </x:c>
      <x:c r="J30" s="303" t="str">
        <x:v>Cs governing</x:v>
      </x:c>
      <x:c r="K30" s="303" t="str">
        <x:v>Base Shear V</x:v>
      </x:c>
      <x:c r="L30" s="140"/>
      <x:c r="M30" s="140"/>
      <x:c r="N30" s="140"/>
      <x:c r="O30" s="140"/>
      <x:c r="P30" s="140"/>
      <x:c r="Q30" s="140"/>
      <x:c r="R30" s="140"/>
    </x:row>
    <x:row r="31">
      <x:c r="B31" s="140" t="str">
        <x:v>X</x:v>
      </x:c>
      <x:c r="C31" s="304" t="str">
        <x:f>IF(OR(G26="",H26="",C20=""),"",G26*POWER(C20,H26))</x:f>
      </x:c>
      <x:c r="D31" s="304" t="str">
        <x:f>IF(OR(I26="",C31=""),"",I26*C31)</x:f>
      </x:c>
      <x:c r="E31" s="304" t="str">
        <x:f>IF(C31="","",IF(J26="",C31,IF(D31="","",MIN(J26,D31))))</x:f>
      </x:c>
      <x:c r="F31" s="304" t="str">
        <x:f>IF(OR(C11="",D26="",C9=""),"",C11/(D26/C9))</x:f>
      </x:c>
      <x:c r="G31" s="304" t="str">
        <x:f>IF(OR(C12="",E31="",C15="",D26="",C9=""),"",IF(E31&lt;=C15,C12/(E31*(D26/C9)),C12*C15/(POWER(E31,2)*(D26/C9))))</x:f>
      </x:c>
      <x:c r="H31" s="304" t="str">
        <x:f>IF(OR(C11="",C9=""),"",MAX(0.044*C11*C9,0.01))</x:f>
      </x:c>
      <x:c r="I31" s="304" t="str">
        <x:f>IF(OR(C14="",D26="",C9=""),"",IF(C14&gt;=0.6,0.5*C14/(D26/C9),0))</x:f>
      </x:c>
      <x:c r="J31" s="304" t="str">
        <x:f>IF(OR(F31="",G31="",H31="",I31=""),"",MAX(H31,I31,MIN(F31,G31)))</x:f>
      </x:c>
      <x:c r="K31" s="304" t="str">
        <x:f>IF(OR(J31="",C19=""),"",J31*C19)</x:f>
      </x:c>
      <x:c r="L31" s="140"/>
      <x:c r="M31" s="140"/>
      <x:c r="N31" s="140"/>
      <x:c r="O31" s="140"/>
      <x:c r="P31" s="140"/>
      <x:c r="Q31" s="140"/>
      <x:c r="R31" s="140"/>
    </x:row>
    <x:row r="32">
      <x:c r="B32" s="140" t="str">
        <x:v>Y</x:v>
      </x:c>
      <x:c r="C32" s="304" t="str">
        <x:f>IF(OR(G27="",H27="",C20=""),"",G27*POWER(C20,H27))</x:f>
      </x:c>
      <x:c r="D32" s="304" t="str">
        <x:f>IF(OR(I27="",C32=""),"",I27*C32)</x:f>
      </x:c>
      <x:c r="E32" s="304" t="str">
        <x:f>IF(C32="","",IF(J27="",C32,IF(D32="","",MIN(J27,D32))))</x:f>
      </x:c>
      <x:c r="F32" s="304" t="str">
        <x:f>IF(OR(C11="",D27="",C9=""),"",C11/(D27/C9))</x:f>
      </x:c>
      <x:c r="G32" s="304" t="str">
        <x:f>IF(OR(C12="",E32="",C15="",D27="",C9=""),"",IF(E32&lt;=C15,C12/(E32*(D27/C9)),C12*C15/(POWER(E32,2)*(D27/C9))))</x:f>
      </x:c>
      <x:c r="H32" s="304" t="str">
        <x:f>IF(OR(C11="",C9=""),"",MAX(0.044*C11*C9,0.01))</x:f>
      </x:c>
      <x:c r="I32" s="304" t="str">
        <x:f>IF(OR(C14="",D27="",C9=""),"",IF(C14&gt;=0.6,0.5*C14/(D27/C9),0))</x:f>
      </x:c>
      <x:c r="J32" s="304" t="str">
        <x:f>IF(OR(F32="",G32="",H32="",I32=""),"",MAX(H32,I32,MIN(F32,G32)))</x:f>
      </x:c>
      <x:c r="K32" s="304" t="str">
        <x:f>IF(OR(J32="",C19=""),"",J32*C19)</x:f>
      </x:c>
      <x:c r="L32" s="140"/>
      <x:c r="M32" s="140"/>
      <x:c r="N32" s="140"/>
      <x:c r="O32" s="140"/>
      <x:c r="P32" s="140"/>
      <x:c r="Q32" s="140"/>
      <x:c r="R32" s="140"/>
    </x:row>
    <x:row r="33">
      <x:c r="B33" s="140"/>
      <x:c r="C33" s="140"/>
      <x:c r="D33" s="140"/>
      <x:c r="E33" s="140"/>
      <x:c r="F33" s="140"/>
      <x:c r="G33" s="140"/>
      <x:c r="H33" s="140"/>
      <x:c r="I33" s="140"/>
      <x:c r="J33" s="140"/>
      <x:c r="K33" s="140"/>
      <x:c r="L33" s="140"/>
      <x:c r="M33" s="140"/>
      <x:c r="N33" s="140"/>
      <x:c r="O33" s="140"/>
      <x:c r="P33" s="140"/>
      <x:c r="Q33" s="140"/>
      <x:c r="R33" s="140"/>
    </x:row>
    <x:row r="34">
      <x:c r="B34" s="140"/>
      <x:c r="C34" s="140"/>
      <x:c r="D34" s="140"/>
      <x:c r="E34" s="140"/>
      <x:c r="F34" s="140"/>
      <x:c r="G34" s="140"/>
      <x:c r="H34" s="140"/>
      <x:c r="I34" s="140"/>
      <x:c r="J34" s="140"/>
      <x:c r="K34" s="140"/>
      <x:c r="L34" s="140"/>
      <x:c r="M34" s="140"/>
      <x:c r="N34" s="140"/>
      <x:c r="O34" s="140"/>
      <x:c r="P34" s="140"/>
      <x:c r="Q34" s="140"/>
      <x:c r="R34" s="140"/>
    </x:row>
    <x:row r="35">
      <x:c r="B35" s="292" t="str">
        <x:v>INDEPENDENT ALGEBRA CHECK &amp; SEISMIC LOAD-EFFECT INTERFACE</x:v>
      </x:c>
      <x:c r="C35" s="292"/>
      <x:c r="D35" s="292"/>
      <x:c r="E35" s="292"/>
      <x:c r="F35" s="292"/>
      <x:c r="G35" s="292"/>
      <x:c r="H35" s="140"/>
      <x:c r="I35" s="140"/>
      <x:c r="J35" s="140"/>
      <x:c r="K35" s="140"/>
      <x:c r="L35" s="140"/>
      <x:c r="M35" s="140"/>
      <x:c r="N35" s="140"/>
      <x:c r="O35" s="140"/>
      <x:c r="P35" s="140"/>
      <x:c r="Q35" s="140"/>
      <x:c r="R35" s="140"/>
    </x:row>
    <x:row r="36">
      <x:c r="B36" s="303" t="str">
        <x:v>Item</x:v>
      </x:c>
      <x:c r="C36" s="303" t="str">
        <x:v>X</x:v>
      </x:c>
      <x:c r="D36" s="303" t="str">
        <x:v>Y</x:v>
      </x:c>
      <x:c r="E36" s="303" t="str">
        <x:v>Unit</x:v>
      </x:c>
      <x:c r="F36" s="303" t="str">
        <x:v>Independent Method</x:v>
      </x:c>
      <x:c r="G36" s="303" t="str">
        <x:v>Reference / Tolerance</x:v>
      </x:c>
      <x:c r="H36" s="140"/>
      <x:c r="I36" s="140"/>
      <x:c r="J36" s="140"/>
      <x:c r="K36" s="140"/>
      <x:c r="L36" s="140"/>
      <x:c r="M36" s="140"/>
      <x:c r="N36" s="140"/>
      <x:c r="O36" s="140"/>
      <x:c r="P36" s="140"/>
      <x:c r="Q36" s="140"/>
      <x:c r="R36" s="140"/>
    </x:row>
    <x:row r="37">
      <x:c r="B37" s="140" t="str">
        <x:v>Cs direct recomputation</x:v>
      </x:c>
      <x:c r="C37" s="304" t="str">
        <x:f>IF(OR(C11="",C12="",C14="",C15="",D26="",C9="",E31=""),"",MAX(MAX(0.044*C11*C9,0.01),IF(C14&gt;=0.6,0.5*C14/(D26/C9),0),MIN(C11/(D26/C9),IF(E31&lt;=C15,C12/(E31*(D26/C9)),C12*C15/(POWER(E31,2)*(D26/C9))))))</x:f>
      </x:c>
      <x:c r="D37" s="304" t="str">
        <x:f>IF(OR(C11="",C12="",C14="",C15="",D27="",C9="",E32=""),"",MAX(MAX(0.044*C11*C9,0.01),IF(C14&gt;=0.6,0.5*C14/(D27/C9),0),MIN(C11/(D27/C9),IF(E32&lt;=C15,C12/(E32*(D27/C9)),C12*C15/(POWER(E32,2)*(D27/C9))))))</x:f>
      </x:c>
      <x:c r="E37" s="140"/>
      <x:c r="F37" s="140" t="str">
        <x:v>Separate direct equation path</x:v>
      </x:c>
      <x:c r="G37" s="140" t="str">
        <x:v>ASCE 7-22 §12.8.1.1</x:v>
      </x:c>
      <x:c r="H37" s="140"/>
      <x:c r="I37" s="140"/>
      <x:c r="J37" s="140"/>
      <x:c r="K37" s="140"/>
      <x:c r="L37" s="140"/>
      <x:c r="M37" s="140"/>
      <x:c r="N37" s="140"/>
      <x:c r="O37" s="140"/>
      <x:c r="P37" s="140"/>
      <x:c r="Q37" s="140"/>
      <x:c r="R37" s="140"/>
    </x:row>
    <x:row r="38">
      <x:c r="B38" s="140" t="str">
        <x:v>|ΔCs|</x:v>
      </x:c>
      <x:c r="C38" s="304" t="str">
        <x:f>IF(OR(C37="",J31=""),"",ABS(C37-J31))</x:f>
      </x:c>
      <x:c r="D38" s="304" t="str">
        <x:f>IF(OR(D37="",J32=""),"",ABS(D37-J32))</x:f>
      </x:c>
      <x:c r="E38" s="140"/>
      <x:c r="F38" s="140" t="str">
        <x:v>Primary vs independent</x:v>
      </x:c>
      <x:c r="G38" s="140" t="str">
        <x:v>≤ 1E-6</x:v>
      </x:c>
      <x:c r="H38" s="140"/>
      <x:c r="I38" s="140"/>
      <x:c r="J38" s="140"/>
      <x:c r="K38" s="140"/>
      <x:c r="L38" s="140"/>
      <x:c r="M38" s="140"/>
      <x:c r="N38" s="140"/>
      <x:c r="O38" s="140"/>
      <x:c r="P38" s="140"/>
      <x:c r="Q38" s="140"/>
      <x:c r="R38" s="140"/>
    </x:row>
    <x:row r="39">
      <x:c r="B39" s="140" t="str">
        <x:v>Base shear direct</x:v>
      </x:c>
      <x:c r="C39" s="304" t="str">
        <x:f>IF(OR(C37="",C19=""),"",C37*C19)</x:f>
      </x:c>
      <x:c r="D39" s="304" t="str">
        <x:f>IF(OR(D37="",C19=""),"",D37*C19)</x:f>
      </x:c>
      <x:c r="E39" s="140" t="str">
        <x:v>kips</x:v>
      </x:c>
      <x:c r="F39" s="140" t="str">
        <x:v>Cs_direct × W</x:v>
      </x:c>
      <x:c r="G39" s="140" t="str">
        <x:v>Eq. 12.8-1</x:v>
      </x:c>
      <x:c r="H39" s="140"/>
      <x:c r="I39" s="140"/>
      <x:c r="J39" s="140"/>
      <x:c r="K39" s="140"/>
      <x:c r="L39" s="140"/>
      <x:c r="M39" s="140"/>
      <x:c r="N39" s="140"/>
      <x:c r="O39" s="140"/>
      <x:c r="P39" s="140"/>
      <x:c r="Q39" s="140"/>
      <x:c r="R39" s="140"/>
    </x:row>
    <x:row r="40">
      <x:c r="B40" s="140" t="str">
        <x:v>|ΔV|</x:v>
      </x:c>
      <x:c r="C40" s="304" t="str">
        <x:f>IF(OR(C39="",K31=""),"",ABS(C39-K31))</x:f>
      </x:c>
      <x:c r="D40" s="304" t="str">
        <x:f>IF(OR(D39="",K32=""),"",ABS(D39-K32))</x:f>
      </x:c>
      <x:c r="E40" s="140" t="str">
        <x:v>kips</x:v>
      </x:c>
      <x:c r="F40" s="140" t="str">
        <x:v>Primary vs independent</x:v>
      </x:c>
      <x:c r="G40" s="140" t="str">
        <x:v>≤ 0.001 kip</x:v>
      </x:c>
      <x:c r="H40" s="140"/>
      <x:c r="I40" s="140"/>
      <x:c r="J40" s="140"/>
      <x:c r="K40" s="140"/>
      <x:c r="L40" s="140"/>
      <x:c r="M40" s="140"/>
      <x:c r="N40" s="140"/>
      <x:c r="O40" s="140"/>
      <x:c r="P40" s="140"/>
      <x:c r="Q40" s="140"/>
      <x:c r="R40" s="140"/>
    </x:row>
    <x:row r="41">
      <x:c r="B41" s="140" t="str">
        <x:v>Vertical seismic coefficient Ev/D</x:v>
      </x:c>
      <x:c r="C41" s="304" t="str">
        <x:f>IF(C11="","",0.2*C11)</x:f>
      </x:c>
      <x:c r="D41" s="304" t="str">
        <x:f>IF(C11="","",0.2*C11)</x:f>
      </x:c>
      <x:c r="E41" s="140" t="str">
        <x:v>×D</x:v>
      </x:c>
      <x:c r="F41" s="140" t="str">
        <x:v>Ev = 0.2·SDS·D</x:v>
      </x:c>
      <x:c r="G41" s="140" t="str">
        <x:v>§12.4.2.2</x:v>
      </x:c>
      <x:c r="H41" s="140"/>
      <x:c r="I41" s="140"/>
      <x:c r="J41" s="140"/>
      <x:c r="K41" s="140"/>
      <x:c r="L41" s="140"/>
      <x:c r="M41" s="140"/>
      <x:c r="N41" s="140"/>
      <x:c r="O41" s="140"/>
      <x:c r="P41" s="140"/>
      <x:c r="Q41" s="140"/>
      <x:c r="R41" s="140"/>
    </x:row>
    <x:row r="42">
      <x:c r="B42" s="140" t="str">
        <x:v>Horizontal effect scale ρ</x:v>
      </x:c>
      <x:c r="C42" s="304" t="str">
        <x:f>IF(K26="","",K26)</x:f>
      </x:c>
      <x:c r="D42" s="304" t="str">
        <x:f>IF(K27="","",K27)</x:f>
      </x:c>
      <x:c r="E42" s="140" t="str">
        <x:v>×QE</x:v>
      </x:c>
      <x:c r="F42" s="140" t="str">
        <x:v>Eh = ρ·QE</x:v>
      </x:c>
      <x:c r="G42" s="140" t="str">
        <x:v>§12.4.2.1</x:v>
      </x:c>
      <x:c r="H42" s="140"/>
      <x:c r="I42" s="140"/>
      <x:c r="J42" s="140"/>
      <x:c r="K42" s="140"/>
      <x:c r="L42" s="140"/>
      <x:c r="M42" s="140"/>
      <x:c r="N42" s="140"/>
      <x:c r="O42" s="140"/>
      <x:c r="P42" s="140"/>
      <x:c r="Q42" s="140"/>
      <x:c r="R42" s="140"/>
    </x:row>
    <x:row r="43">
      <x:c r="B43" s="140" t="str">
        <x:v>Overstrength scale Ω0</x:v>
      </x:c>
      <x:c r="C43" s="304" t="str">
        <x:f>IF(E26="","",E26)</x:f>
      </x:c>
      <x:c r="D43" s="304" t="str">
        <x:f>IF(E27="","",E27)</x:f>
      </x:c>
      <x:c r="E43" s="140" t="str">
        <x:v>×QE</x:v>
      </x:c>
      <x:c r="F43" s="140" t="str">
        <x:v>Emh = Ω0·QE</x:v>
      </x:c>
      <x:c r="G43" s="140" t="str">
        <x:v>§12.4.3</x:v>
      </x:c>
      <x:c r="H43" s="140"/>
      <x:c r="I43" s="140"/>
      <x:c r="J43" s="140"/>
      <x:c r="K43" s="140"/>
      <x:c r="L43" s="140"/>
      <x:c r="M43" s="140"/>
      <x:c r="N43" s="140"/>
      <x:c r="O43" s="140"/>
      <x:c r="P43" s="140"/>
      <x:c r="Q43" s="140"/>
      <x:c r="R43" s="140"/>
    </x:row>
    <x:row r="44">
      <x:c r="B44" s="140" t="str">
        <x:v>Validation status</x:v>
      </x:c>
      <x:c r="C44" s="304" t="str">
        <x:f>IF(OR(C38="",C40=""),"PENDING",IF(AND(C38&lt;=0.000001,C40&lt;=0.001),"PASS","CHECK"))</x:f>
        <x:v>PENDING</x:v>
      </x:c>
      <x:c r="D44" s="304" t="str">
        <x:f>IF(OR(D38="",D40=""),"PENDING",IF(AND(D38&lt;=0.000001,D40&lt;=0.001),"PASS","CHECK"))</x:f>
        <x:v>PENDING</x:v>
      </x:c>
      <x:c r="E44" s="140"/>
      <x:c r="F44" s="140" t="str">
        <x:v>Tolerance gate</x:v>
      </x:c>
      <x:c r="G44" s="140" t="str">
        <x:f>IF(AND(C44="PASS",D44="PASS"),"PASS",IF(OR(C44="CHECK",D44="CHECK"),"CHECK","PENDING"))</x:f>
        <x:v>PENDING</x:v>
      </x:c>
      <x:c r="H44" s="140"/>
      <x:c r="I44" s="140"/>
      <x:c r="J44" s="140"/>
      <x:c r="K44" s="140"/>
      <x:c r="L44" s="140"/>
      <x:c r="M44" s="140"/>
      <x:c r="N44" s="140"/>
      <x:c r="O44" s="140"/>
      <x:c r="P44" s="140"/>
      <x:c r="Q44" s="140"/>
      <x:c r="R44" s="140"/>
    </x:row>
    <x:row r="45">
      <x:c r="B45" s="140"/>
      <x:c r="C45" s="140"/>
      <x:c r="D45" s="140"/>
      <x:c r="E45" s="140"/>
      <x:c r="F45" s="140"/>
      <x:c r="G45" s="140"/>
      <x:c r="H45" s="140"/>
      <x:c r="I45" s="140"/>
      <x:c r="J45" s="140"/>
      <x:c r="K45" s="140"/>
      <x:c r="L45" s="140"/>
      <x:c r="M45" s="140"/>
      <x:c r="N45" s="140"/>
      <x:c r="O45" s="140"/>
      <x:c r="P45" s="140"/>
      <x:c r="Q45" s="140"/>
      <x:c r="R45" s="140"/>
    </x:row>
    <x:row r="46">
      <x:c r="B46" s="140"/>
      <x:c r="C46" s="140"/>
      <x:c r="D46" s="140"/>
      <x:c r="E46" s="140"/>
      <x:c r="F46" s="140"/>
      <x:c r="G46" s="140"/>
      <x:c r="H46" s="140"/>
      <x:c r="I46" s="140"/>
      <x:c r="J46" s="140"/>
      <x:c r="K46" s="140"/>
      <x:c r="L46" s="140"/>
      <x:c r="M46" s="140"/>
      <x:c r="N46" s="140"/>
      <x:c r="O46" s="140"/>
      <x:c r="P46" s="140"/>
      <x:c r="Q46" s="140"/>
      <x:c r="R46" s="140"/>
    </x:row>
    <x:row r="47">
      <x:c r="B47" s="292" t="str">
        <x:v>VERTICAL DISTRIBUTION — ASCE 7-22 §12.8.3 / §12.8.4</x:v>
      </x:c>
      <x:c r="C47" s="292"/>
      <x:c r="D47" s="292"/>
      <x:c r="E47" s="292"/>
      <x:c r="F47" s="292"/>
      <x:c r="G47" s="140"/>
      <x:c r="H47" s="140"/>
      <x:c r="I47" s="140"/>
      <x:c r="J47" s="140"/>
      <x:c r="K47" s="140"/>
      <x:c r="L47" s="140"/>
      <x:c r="M47" s="140"/>
      <x:c r="N47" s="140"/>
      <x:c r="O47" s="140"/>
      <x:c r="P47" s="140"/>
      <x:c r="Q47" s="140"/>
      <x:c r="R47" s="140"/>
    </x:row>
    <x:row r="48">
      <x:c r="B48" s="303" t="str">
        <x:v>Direction</x:v>
      </x:c>
      <x:c r="C48" s="303" t="str">
        <x:v>T used</x:v>
      </x:c>
      <x:c r="D48" s="303" t="str">
        <x:v>k exponent</x:v>
      </x:c>
      <x:c r="E48" s="303" t="str">
        <x:v>Σ(w·h^k)</x:v>
      </x:c>
      <x:c r="F48" s="303" t="str">
        <x:v>Base overturning Σ(F·h)</x:v>
      </x:c>
      <x:c r="G48" s="140"/>
      <x:c r="H48" s="140"/>
      <x:c r="I48" s="140"/>
      <x:c r="J48" s="140"/>
      <x:c r="K48" s="140"/>
      <x:c r="L48" s="140"/>
      <x:c r="M48" s="140"/>
      <x:c r="N48" s="140"/>
      <x:c r="O48" s="140"/>
      <x:c r="P48" s="140"/>
      <x:c r="Q48" s="140"/>
      <x:c r="R48" s="140"/>
    </x:row>
    <x:row r="49">
      <x:c r="B49" s="140" t="str">
        <x:v>X</x:v>
      </x:c>
      <x:c r="C49" s="304" t="str">
        <x:f>IF(E31="","",E31)</x:f>
      </x:c>
      <x:c r="D49" s="304" t="str">
        <x:f>IF(C49="","",IF(C49&lt;=0.5,1,IF(C49&gt;=2.5,2,1+(C49-0.5)/2)))</x:f>
      </x:c>
      <x:c r="E49" s="304" t="str">
        <x:f>IF(COUNT(F54:F59)=0,"",SUM(F54:F59))</x:f>
      </x:c>
      <x:c r="F49" s="304" t="str">
        <x:f>IF(COUNT(J54:J59)=0,"",SUM(J54:J59))</x:f>
      </x:c>
      <x:c r="G49" s="140"/>
      <x:c r="H49" s="140"/>
      <x:c r="I49" s="140"/>
      <x:c r="J49" s="140"/>
      <x:c r="K49" s="140"/>
      <x:c r="L49" s="140"/>
      <x:c r="M49" s="140"/>
      <x:c r="N49" s="140"/>
      <x:c r="O49" s="140"/>
      <x:c r="P49" s="140"/>
      <x:c r="Q49" s="140"/>
      <x:c r="R49" s="140"/>
    </x:row>
    <x:row r="50">
      <x:c r="B50" s="140" t="str">
        <x:v>Y</x:v>
      </x:c>
      <x:c r="C50" s="304" t="str">
        <x:f>IF(E32="","",E32)</x:f>
      </x:c>
      <x:c r="D50" s="304" t="str">
        <x:f>IF(C50="","",IF(C50&lt;=0.5,1,IF(C50&gt;=2.5,2,1+(C50-0.5)/2)))</x:f>
      </x:c>
      <x:c r="E50" s="304" t="str">
        <x:f>IF(COUNT(F65:F70)=0,"",SUM(F65:F70))</x:f>
      </x:c>
      <x:c r="F50" s="304" t="str">
        <x:f>IF(COUNT(J65:J70)=0,"",SUM(J65:J70))</x:f>
      </x:c>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140"/>
      <x:c r="C52" s="140"/>
      <x:c r="D52" s="140"/>
      <x:c r="E52" s="140"/>
      <x:c r="F52" s="140"/>
      <x:c r="G52" s="140"/>
      <x:c r="H52" s="140"/>
      <x:c r="I52" s="140"/>
      <x:c r="J52" s="140"/>
      <x:c r="K52" s="140"/>
      <x:c r="L52" s="140"/>
      <x:c r="M52" s="140"/>
      <x:c r="N52" s="140"/>
      <x:c r="O52" s="140"/>
      <x:c r="P52" s="140"/>
      <x:c r="Q52" s="140"/>
      <x:c r="R52" s="140"/>
    </x:row>
    <x:row r="53">
      <x:c r="B53" s="303" t="str">
        <x:v>Level</x:v>
      </x:c>
      <x:c r="C53" s="303" t="str">
        <x:v>hx (ft)</x:v>
      </x:c>
      <x:c r="D53" s="303" t="str">
        <x:v>wx (kips)</x:v>
      </x:c>
      <x:c r="E53" s="303" t="str">
        <x:v>hx^k</x:v>
      </x:c>
      <x:c r="F53" s="303" t="str">
        <x:v>wx·hx^k</x:v>
      </x:c>
      <x:c r="G53" s="303" t="str">
        <x:v>Cvx</x:v>
      </x:c>
      <x:c r="H53" s="303" t="str">
        <x:v>Fx (kips)</x:v>
      </x:c>
      <x:c r="I53" s="303" t="str">
        <x:v>Story Shear Vx</x:v>
      </x:c>
      <x:c r="J53" s="303" t="str">
        <x:v>Fx·hx</x:v>
      </x:c>
      <x:c r="K53" s="140" t="str">
        <x:v>Status</x:v>
      </x:c>
      <x:c r="L53" s="140"/>
      <x:c r="M53" s="140"/>
      <x:c r="N53" s="140"/>
      <x:c r="O53" s="140"/>
      <x:c r="P53" s="140"/>
      <x:c r="Q53" s="140"/>
      <x:c r="R53" s="140"/>
    </x:row>
    <x:row r="54">
      <x:c r="B54" s="140" t="str">
        <x:v>L1</x:v>
      </x:c>
      <x:c r="C54" s="140" t="str">
        <x:f>IF('01_INPUTS'!C104="","",'01_INPUTS'!C104)</x:f>
      </x:c>
      <x:c r="D54" s="140" t="str">
        <x:f>IF('01_INPUTS'!C105="","",'01_INPUTS'!C105)</x:f>
      </x:c>
      <x:c r="E54" s="140" t="str">
        <x:f>IF(OR(C54="",D49=""),"",POWER(C54,D49))</x:f>
      </x:c>
      <x:c r="F54" s="140" t="str">
        <x:f>IF(OR(D54="",E54=""),"",D54*E54)</x:f>
      </x:c>
      <x:c r="G54" s="140" t="str">
        <x:f>IF(OR(F54="",E49="",E49=0),"",F54/E49)</x:f>
      </x:c>
      <x:c r="H54" s="140" t="str">
        <x:f>IF(OR(G54="",K31=""),"",G54*K31)</x:f>
      </x:c>
      <x:c r="I54" s="140" t="str">
        <x:f>IF(H54="","",SUM(H54:H59))</x:f>
      </x:c>
      <x:c r="J54" s="140" t="str">
        <x:f>IF(OR(H54="",C54=""),"",H54*C54)</x:f>
      </x:c>
      <x:c r="K54" s="140" t="str">
        <x:f>IF(OR(C54="",D54=""),"UNUSED",IF(H54="","PENDING","ACTIVE"))</x:f>
        <x:v>UNUSED</x:v>
      </x:c>
      <x:c r="L54" s="140"/>
      <x:c r="M54" s="140"/>
      <x:c r="N54" s="140"/>
      <x:c r="O54" s="140"/>
      <x:c r="P54" s="140"/>
      <x:c r="Q54" s="140"/>
      <x:c r="R54" s="140"/>
    </x:row>
    <x:row r="55">
      <x:c r="B55" s="140" t="str">
        <x:v>L2</x:v>
      </x:c>
      <x:c r="C55" s="140" t="str">
        <x:f>IF('01_INPUTS'!C106="","",'01_INPUTS'!C106)</x:f>
      </x:c>
      <x:c r="D55" s="140" t="str">
        <x:f>IF('01_INPUTS'!C107="","",'01_INPUTS'!C107)</x:f>
      </x:c>
      <x:c r="E55" s="140" t="str">
        <x:f>IF(OR(C55="",D49=""),"",POWER(C55,D49))</x:f>
      </x:c>
      <x:c r="F55" s="140" t="str">
        <x:f>IF(OR(D55="",E55=""),"",D55*E55)</x:f>
      </x:c>
      <x:c r="G55" s="140" t="str">
        <x:f>IF(OR(F55="",E49="",E49=0),"",F55/E49)</x:f>
      </x:c>
      <x:c r="H55" s="140" t="str">
        <x:f>IF(OR(G55="",K31=""),"",G55*K31)</x:f>
      </x:c>
      <x:c r="I55" s="140" t="str">
        <x:f>IF(H55="","",SUM(H55:H59))</x:f>
      </x:c>
      <x:c r="J55" s="140" t="str">
        <x:f>IF(OR(H55="",C55=""),"",H55*C55)</x:f>
      </x:c>
      <x:c r="K55" s="140" t="str">
        <x:f>IF(OR(C55="",D55=""),"UNUSED",IF(H55="","PENDING","ACTIVE"))</x:f>
        <x:v>UNUSED</x:v>
      </x:c>
      <x:c r="L55" s="140"/>
      <x:c r="M55" s="140"/>
      <x:c r="N55" s="140"/>
      <x:c r="O55" s="140"/>
      <x:c r="P55" s="140"/>
      <x:c r="Q55" s="140"/>
      <x:c r="R55" s="140"/>
    </x:row>
    <x:row r="56">
      <x:c r="B56" s="140" t="str">
        <x:v>L3</x:v>
      </x:c>
      <x:c r="C56" s="140" t="str">
        <x:f>IF('01_INPUTS'!C108="","",'01_INPUTS'!C108)</x:f>
      </x:c>
      <x:c r="D56" s="140" t="str">
        <x:f>IF('01_INPUTS'!C109="","",'01_INPUTS'!C109)</x:f>
      </x:c>
      <x:c r="E56" s="140" t="str">
        <x:f>IF(OR(C56="",D49=""),"",POWER(C56,D49))</x:f>
      </x:c>
      <x:c r="F56" s="140" t="str">
        <x:f>IF(OR(D56="",E56=""),"",D56*E56)</x:f>
      </x:c>
      <x:c r="G56" s="140" t="str">
        <x:f>IF(OR(F56="",E49="",E49=0),"",F56/E49)</x:f>
      </x:c>
      <x:c r="H56" s="140" t="str">
        <x:f>IF(OR(G56="",K31=""),"",G56*K31)</x:f>
      </x:c>
      <x:c r="I56" s="140" t="str">
        <x:f>IF(H56="","",SUM(H56:H59))</x:f>
      </x:c>
      <x:c r="J56" s="140" t="str">
        <x:f>IF(OR(H56="",C56=""),"",H56*C56)</x:f>
      </x:c>
      <x:c r="K56" s="140" t="str">
        <x:f>IF(OR(C56="",D56=""),"UNUSED",IF(H56="","PENDING","ACTIVE"))</x:f>
        <x:v>UNUSED</x:v>
      </x:c>
      <x:c r="L56" s="140"/>
      <x:c r="M56" s="140"/>
      <x:c r="N56" s="140"/>
      <x:c r="O56" s="140"/>
      <x:c r="P56" s="140"/>
      <x:c r="Q56" s="140"/>
      <x:c r="R56" s="140"/>
    </x:row>
    <x:row r="57">
      <x:c r="B57" s="140" t="str">
        <x:v>L4</x:v>
      </x:c>
      <x:c r="C57" s="140" t="str">
        <x:f>IF('01_INPUTS'!C110="","",'01_INPUTS'!C110)</x:f>
      </x:c>
      <x:c r="D57" s="140" t="str">
        <x:f>IF('01_INPUTS'!C111="","",'01_INPUTS'!C111)</x:f>
      </x:c>
      <x:c r="E57" s="140" t="str">
        <x:f>IF(OR(C57="",D49=""),"",POWER(C57,D49))</x:f>
      </x:c>
      <x:c r="F57" s="140" t="str">
        <x:f>IF(OR(D57="",E57=""),"",D57*E57)</x:f>
      </x:c>
      <x:c r="G57" s="140" t="str">
        <x:f>IF(OR(F57="",E49="",E49=0),"",F57/E49)</x:f>
      </x:c>
      <x:c r="H57" s="140" t="str">
        <x:f>IF(OR(G57="",K31=""),"",G57*K31)</x:f>
      </x:c>
      <x:c r="I57" s="140" t="str">
        <x:f>IF(H57="","",SUM(H57:H59))</x:f>
      </x:c>
      <x:c r="J57" s="140" t="str">
        <x:f>IF(OR(H57="",C57=""),"",H57*C57)</x:f>
      </x:c>
      <x:c r="K57" s="140" t="str">
        <x:f>IF(OR(C57="",D57=""),"UNUSED",IF(H57="","PENDING","ACTIVE"))</x:f>
        <x:v>UNUSED</x:v>
      </x:c>
      <x:c r="L57" s="140"/>
      <x:c r="M57" s="140"/>
      <x:c r="N57" s="140"/>
      <x:c r="O57" s="140"/>
      <x:c r="P57" s="140"/>
      <x:c r="Q57" s="140"/>
      <x:c r="R57" s="140"/>
    </x:row>
    <x:row r="58">
      <x:c r="B58" s="140" t="str">
        <x:v>L5</x:v>
      </x:c>
      <x:c r="C58" s="140" t="str">
        <x:f>IF('01_INPUTS'!C112="","",'01_INPUTS'!C112)</x:f>
      </x:c>
      <x:c r="D58" s="140" t="str">
        <x:f>IF('01_INPUTS'!C113="","",'01_INPUTS'!C113)</x:f>
      </x:c>
      <x:c r="E58" s="140" t="str">
        <x:f>IF(OR(C58="",D49=""),"",POWER(C58,D49))</x:f>
      </x:c>
      <x:c r="F58" s="140" t="str">
        <x:f>IF(OR(D58="",E58=""),"",D58*E58)</x:f>
      </x:c>
      <x:c r="G58" s="140" t="str">
        <x:f>IF(OR(F58="",E49="",E49=0),"",F58/E49)</x:f>
      </x:c>
      <x:c r="H58" s="140" t="str">
        <x:f>IF(OR(G58="",K31=""),"",G58*K31)</x:f>
      </x:c>
      <x:c r="I58" s="140" t="str">
        <x:f>IF(H58="","",SUM(H58:H59))</x:f>
      </x:c>
      <x:c r="J58" s="140" t="str">
        <x:f>IF(OR(H58="",C58=""),"",H58*C58)</x:f>
      </x:c>
      <x:c r="K58" s="140" t="str">
        <x:f>IF(OR(C58="",D58=""),"UNUSED",IF(H58="","PENDING","ACTIVE"))</x:f>
        <x:v>UNUSED</x:v>
      </x:c>
      <x:c r="L58" s="140"/>
      <x:c r="M58" s="140"/>
      <x:c r="N58" s="140"/>
      <x:c r="O58" s="140"/>
      <x:c r="P58" s="140"/>
      <x:c r="Q58" s="140"/>
      <x:c r="R58" s="140"/>
    </x:row>
    <x:row r="59">
      <x:c r="B59" s="140" t="str">
        <x:v>L6</x:v>
      </x:c>
      <x:c r="C59" s="140" t="str">
        <x:f>IF('01_INPUTS'!C114="","",'01_INPUTS'!C114)</x:f>
      </x:c>
      <x:c r="D59" s="140" t="str">
        <x:f>IF('01_INPUTS'!C115="","",'01_INPUTS'!C115)</x:f>
      </x:c>
      <x:c r="E59" s="140" t="str">
        <x:f>IF(OR(C59="",D49=""),"",POWER(C59,D49))</x:f>
      </x:c>
      <x:c r="F59" s="140" t="str">
        <x:f>IF(OR(D59="",E59=""),"",D59*E59)</x:f>
      </x:c>
      <x:c r="G59" s="140" t="str">
        <x:f>IF(OR(F59="",E49="",E49=0),"",F59/E49)</x:f>
      </x:c>
      <x:c r="H59" s="140" t="str">
        <x:f>IF(OR(G59="",K31=""),"",G59*K31)</x:f>
      </x:c>
      <x:c r="I59" s="140" t="str">
        <x:f>IF(H59="","",SUM(H59:H59))</x:f>
      </x:c>
      <x:c r="J59" s="140" t="str">
        <x:f>IF(OR(H59="",C59=""),"",H59*C59)</x:f>
      </x:c>
      <x:c r="K59" s="140" t="str">
        <x:f>IF(OR(C59="",D59=""),"UNUSED",IF(H59="","PENDING","ACTIVE"))</x:f>
        <x:v>UNUSED</x:v>
      </x:c>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303" t="str">
        <x:v>Level</x:v>
      </x:c>
      <x:c r="C64" s="303" t="str">
        <x:v>hx (ft)</x:v>
      </x:c>
      <x:c r="D64" s="303" t="str">
        <x:v>wx (kips)</x:v>
      </x:c>
      <x:c r="E64" s="303" t="str">
        <x:v>hx^k</x:v>
      </x:c>
      <x:c r="F64" s="303" t="str">
        <x:v>wx·hx^k</x:v>
      </x:c>
      <x:c r="G64" s="303" t="str">
        <x:v>Cvx</x:v>
      </x:c>
      <x:c r="H64" s="303" t="str">
        <x:v>Fx (kips)</x:v>
      </x:c>
      <x:c r="I64" s="303" t="str">
        <x:v>Story Shear Vx</x:v>
      </x:c>
      <x:c r="J64" s="303" t="str">
        <x:v>Fx·hx</x:v>
      </x:c>
      <x:c r="K64" s="140" t="str">
        <x:v>Status</x:v>
      </x:c>
      <x:c r="L64" s="140"/>
      <x:c r="M64" s="140"/>
      <x:c r="N64" s="140"/>
      <x:c r="O64" s="140"/>
      <x:c r="P64" s="140"/>
      <x:c r="Q64" s="140"/>
      <x:c r="R64" s="140"/>
    </x:row>
    <x:row r="65">
      <x:c r="B65" s="140" t="str">
        <x:v>L1</x:v>
      </x:c>
      <x:c r="C65" s="140" t="str">
        <x:f>IF('01_INPUTS'!C104="","",'01_INPUTS'!C104)</x:f>
      </x:c>
      <x:c r="D65" s="140" t="str">
        <x:f>IF('01_INPUTS'!C105="","",'01_INPUTS'!C105)</x:f>
      </x:c>
      <x:c r="E65" s="140" t="str">
        <x:f>IF(OR(C65="",D50=""),"",POWER(C65,D50))</x:f>
      </x:c>
      <x:c r="F65" s="140" t="str">
        <x:f>IF(OR(D65="",E65=""),"",D65*E65)</x:f>
      </x:c>
      <x:c r="G65" s="140" t="str">
        <x:f>IF(OR(F65="",E50="",E50=0),"",F65/E50)</x:f>
      </x:c>
      <x:c r="H65" s="140" t="str">
        <x:f>IF(OR(G65="",K32=""),"",G65*K32)</x:f>
      </x:c>
      <x:c r="I65" s="140" t="str">
        <x:f>IF(H65="","",SUM(H65:H70))</x:f>
      </x:c>
      <x:c r="J65" s="140" t="str">
        <x:f>IF(OR(H65="",C65=""),"",H65*C65)</x:f>
      </x:c>
      <x:c r="K65" s="140" t="str">
        <x:f>IF(OR(C65="",D65=""),"UNUSED",IF(H65="","PENDING","ACTIVE"))</x:f>
        <x:v>UNUSED</x:v>
      </x:c>
      <x:c r="L65" s="140"/>
      <x:c r="M65" s="140"/>
      <x:c r="N65" s="140"/>
      <x:c r="O65" s="140"/>
      <x:c r="P65" s="140"/>
      <x:c r="Q65" s="140"/>
      <x:c r="R65" s="140"/>
    </x:row>
    <x:row r="66">
      <x:c r="B66" s="140" t="str">
        <x:v>L2</x:v>
      </x:c>
      <x:c r="C66" s="140" t="str">
        <x:f>IF('01_INPUTS'!C106="","",'01_INPUTS'!C106)</x:f>
      </x:c>
      <x:c r="D66" s="140" t="str">
        <x:f>IF('01_INPUTS'!C107="","",'01_INPUTS'!C107)</x:f>
      </x:c>
      <x:c r="E66" s="140" t="str">
        <x:f>IF(OR(C66="",D50=""),"",POWER(C66,D50))</x:f>
      </x:c>
      <x:c r="F66" s="140" t="str">
        <x:f>IF(OR(D66="",E66=""),"",D66*E66)</x:f>
      </x:c>
      <x:c r="G66" s="140" t="str">
        <x:f>IF(OR(F66="",E50="",E50=0),"",F66/E50)</x:f>
      </x:c>
      <x:c r="H66" s="140" t="str">
        <x:f>IF(OR(G66="",K32=""),"",G66*K32)</x:f>
      </x:c>
      <x:c r="I66" s="140" t="str">
        <x:f>IF(H66="","",SUM(H66:H70))</x:f>
      </x:c>
      <x:c r="J66" s="140" t="str">
        <x:f>IF(OR(H66="",C66=""),"",H66*C66)</x:f>
      </x:c>
      <x:c r="K66" s="140" t="str">
        <x:f>IF(OR(C66="",D66=""),"UNUSED",IF(H66="","PENDING","ACTIVE"))</x:f>
        <x:v>UNUSED</x:v>
      </x:c>
      <x:c r="L66" s="140"/>
      <x:c r="M66" s="140"/>
      <x:c r="N66" s="140"/>
      <x:c r="O66" s="140"/>
      <x:c r="P66" s="140"/>
      <x:c r="Q66" s="140"/>
      <x:c r="R66" s="140"/>
    </x:row>
    <x:row r="67">
      <x:c r="B67" s="140" t="str">
        <x:v>L3</x:v>
      </x:c>
      <x:c r="C67" s="140" t="str">
        <x:f>IF('01_INPUTS'!C108="","",'01_INPUTS'!C108)</x:f>
      </x:c>
      <x:c r="D67" s="140" t="str">
        <x:f>IF('01_INPUTS'!C109="","",'01_INPUTS'!C109)</x:f>
      </x:c>
      <x:c r="E67" s="140" t="str">
        <x:f>IF(OR(C67="",D50=""),"",POWER(C67,D50))</x:f>
      </x:c>
      <x:c r="F67" s="140" t="str">
        <x:f>IF(OR(D67="",E67=""),"",D67*E67)</x:f>
      </x:c>
      <x:c r="G67" s="140" t="str">
        <x:f>IF(OR(F67="",E50="",E50=0),"",F67/E50)</x:f>
      </x:c>
      <x:c r="H67" s="140" t="str">
        <x:f>IF(OR(G67="",K32=""),"",G67*K32)</x:f>
      </x:c>
      <x:c r="I67" s="140" t="str">
        <x:f>IF(H67="","",SUM(H67:H70))</x:f>
      </x:c>
      <x:c r="J67" s="140" t="str">
        <x:f>IF(OR(H67="",C67=""),"",H67*C67)</x:f>
      </x:c>
      <x:c r="K67" s="140" t="str">
        <x:f>IF(OR(C67="",D67=""),"UNUSED",IF(H67="","PENDING","ACTIVE"))</x:f>
        <x:v>UNUSED</x:v>
      </x:c>
      <x:c r="L67" s="140"/>
      <x:c r="M67" s="140"/>
      <x:c r="N67" s="140"/>
      <x:c r="O67" s="140"/>
      <x:c r="P67" s="140"/>
      <x:c r="Q67" s="140"/>
      <x:c r="R67" s="140"/>
    </x:row>
    <x:row r="68">
      <x:c r="B68" s="140" t="str">
        <x:v>L4</x:v>
      </x:c>
      <x:c r="C68" s="140" t="str">
        <x:f>IF('01_INPUTS'!C110="","",'01_INPUTS'!C110)</x:f>
      </x:c>
      <x:c r="D68" s="140" t="str">
        <x:f>IF('01_INPUTS'!C111="","",'01_INPUTS'!C111)</x:f>
      </x:c>
      <x:c r="E68" s="140" t="str">
        <x:f>IF(OR(C68="",D50=""),"",POWER(C68,D50))</x:f>
      </x:c>
      <x:c r="F68" s="140" t="str">
        <x:f>IF(OR(D68="",E68=""),"",D68*E68)</x:f>
      </x:c>
      <x:c r="G68" s="140" t="str">
        <x:f>IF(OR(F68="",E50="",E50=0),"",F68/E50)</x:f>
      </x:c>
      <x:c r="H68" s="140" t="str">
        <x:f>IF(OR(G68="",K32=""),"",G68*K32)</x:f>
      </x:c>
      <x:c r="I68" s="140" t="str">
        <x:f>IF(H68="","",SUM(H68:H70))</x:f>
      </x:c>
      <x:c r="J68" s="140" t="str">
        <x:f>IF(OR(H68="",C68=""),"",H68*C68)</x:f>
      </x:c>
      <x:c r="K68" s="140" t="str">
        <x:f>IF(OR(C68="",D68=""),"UNUSED",IF(H68="","PENDING","ACTIVE"))</x:f>
        <x:v>UNUSED</x:v>
      </x:c>
      <x:c r="L68" s="140"/>
      <x:c r="M68" s="140"/>
      <x:c r="N68" s="140"/>
      <x:c r="O68" s="140"/>
      <x:c r="P68" s="140"/>
      <x:c r="Q68" s="140"/>
      <x:c r="R68" s="140"/>
    </x:row>
    <x:row r="69">
      <x:c r="B69" s="140" t="str">
        <x:v>L5</x:v>
      </x:c>
      <x:c r="C69" s="140" t="str">
        <x:f>IF('01_INPUTS'!C112="","",'01_INPUTS'!C112)</x:f>
      </x:c>
      <x:c r="D69" s="140" t="str">
        <x:f>IF('01_INPUTS'!C113="","",'01_INPUTS'!C113)</x:f>
      </x:c>
      <x:c r="E69" s="140" t="str">
        <x:f>IF(OR(C69="",D50=""),"",POWER(C69,D50))</x:f>
      </x:c>
      <x:c r="F69" s="140" t="str">
        <x:f>IF(OR(D69="",E69=""),"",D69*E69)</x:f>
      </x:c>
      <x:c r="G69" s="140" t="str">
        <x:f>IF(OR(F69="",E50="",E50=0),"",F69/E50)</x:f>
      </x:c>
      <x:c r="H69" s="140" t="str">
        <x:f>IF(OR(G69="",K32=""),"",G69*K32)</x:f>
      </x:c>
      <x:c r="I69" s="140" t="str">
        <x:f>IF(H69="","",SUM(H69:H70))</x:f>
      </x:c>
      <x:c r="J69" s="140" t="str">
        <x:f>IF(OR(H69="",C69=""),"",H69*C69)</x:f>
      </x:c>
      <x:c r="K69" s="140" t="str">
        <x:f>IF(OR(C69="",D69=""),"UNUSED",IF(H69="","PENDING","ACTIVE"))</x:f>
        <x:v>UNUSED</x:v>
      </x:c>
      <x:c r="L69" s="140"/>
      <x:c r="M69" s="140"/>
      <x:c r="N69" s="140"/>
      <x:c r="O69" s="140"/>
      <x:c r="P69" s="140"/>
      <x:c r="Q69" s="140"/>
      <x:c r="R69" s="140"/>
    </x:row>
    <x:row r="70">
      <x:c r="B70" s="140" t="str">
        <x:v>L6</x:v>
      </x:c>
      <x:c r="C70" s="140" t="str">
        <x:f>IF('01_INPUTS'!C114="","",'01_INPUTS'!C114)</x:f>
      </x:c>
      <x:c r="D70" s="140" t="str">
        <x:f>IF('01_INPUTS'!C115="","",'01_INPUTS'!C115)</x:f>
      </x:c>
      <x:c r="E70" s="140" t="str">
        <x:f>IF(OR(C70="",D50=""),"",POWER(C70,D50))</x:f>
      </x:c>
      <x:c r="F70" s="140" t="str">
        <x:f>IF(OR(D70="",E70=""),"",D70*E70)</x:f>
      </x:c>
      <x:c r="G70" s="140" t="str">
        <x:f>IF(OR(F70="",E50="",E50=0),"",F70/E50)</x:f>
      </x:c>
      <x:c r="H70" s="140" t="str">
        <x:f>IF(OR(G70="",K32=""),"",G70*K32)</x:f>
      </x:c>
      <x:c r="I70" s="140" t="str">
        <x:f>IF(H70="","",SUM(H70:H70))</x:f>
      </x:c>
      <x:c r="J70" s="140" t="str">
        <x:f>IF(OR(H70="",C70=""),"",H70*C70)</x:f>
      </x:c>
      <x:c r="K70" s="140" t="str">
        <x:f>IF(OR(C70="",D70=""),"UNUSED",IF(H70="","PENDING","ACTIVE"))</x:f>
        <x:v>UNUSED</x:v>
      </x:c>
      <x:c r="L70" s="140"/>
      <x:c r="M70" s="140"/>
      <x:c r="N70" s="140"/>
      <x:c r="O70" s="140"/>
      <x:c r="P70" s="140"/>
      <x:c r="Q70" s="140"/>
      <x:c r="R70" s="140"/>
    </x:row>
    <x:row r="71">
      <x:c r="B71" s="140"/>
      <x:c r="C71" s="140"/>
      <x:c r="D71" s="140"/>
      <x:c r="E71" s="140"/>
      <x:c r="F71" s="140"/>
      <x:c r="G71" s="140"/>
      <x:c r="H71" s="140"/>
      <x:c r="I71" s="140"/>
      <x:c r="J71" s="140"/>
      <x:c r="K71" s="140"/>
      <x:c r="L71" s="140"/>
      <x:c r="M71" s="140"/>
      <x:c r="N71" s="140"/>
      <x:c r="O71" s="140"/>
      <x:c r="P71" s="140"/>
      <x:c r="Q71" s="140"/>
      <x:c r="R71" s="140"/>
    </x:row>
    <x:row r="72">
      <x:c r="B72" s="140"/>
      <x:c r="C72" s="140"/>
      <x:c r="D72" s="140"/>
      <x:c r="E72" s="140"/>
      <x:c r="F72" s="140"/>
      <x:c r="G72" s="140"/>
      <x:c r="H72" s="140"/>
      <x:c r="I72" s="140"/>
      <x:c r="J72" s="140"/>
      <x:c r="K72" s="140"/>
      <x:c r="L72" s="140"/>
      <x:c r="M72" s="140"/>
      <x:c r="N72" s="140"/>
      <x:c r="O72" s="140"/>
      <x:c r="P72" s="140"/>
      <x:c r="Q72" s="140"/>
      <x:c r="R72" s="140"/>
    </x:row>
    <x:row r="73">
      <x:c r="B73" s="140"/>
      <x:c r="C73" s="140"/>
      <x:c r="D73" s="140"/>
      <x:c r="E73" s="140"/>
      <x:c r="F73" s="140"/>
      <x:c r="G73" s="140"/>
      <x:c r="H73" s="140"/>
      <x:c r="I73" s="140"/>
      <x:c r="J73" s="140"/>
      <x:c r="K73" s="140"/>
      <x:c r="L73" s="140"/>
      <x:c r="M73" s="140"/>
      <x:c r="N73" s="140"/>
      <x:c r="O73" s="140"/>
      <x:c r="P73" s="140"/>
      <x:c r="Q73" s="140"/>
      <x:c r="R73" s="140"/>
    </x:row>
    <x:row r="74">
      <x:c r="B74" s="140"/>
      <x:c r="C74" s="140"/>
      <x:c r="D74" s="140"/>
      <x:c r="E74" s="140"/>
      <x:c r="F74" s="140"/>
      <x:c r="G74" s="140"/>
      <x:c r="H74" s="140"/>
      <x:c r="I74" s="140"/>
      <x:c r="J74" s="140"/>
      <x:c r="K74" s="140"/>
      <x:c r="L74" s="140"/>
      <x:c r="M74" s="140"/>
      <x:c r="N74" s="140"/>
      <x:c r="O74" s="140"/>
      <x:c r="P74" s="140"/>
      <x:c r="Q74" s="140"/>
      <x:c r="R74" s="140"/>
    </x:row>
    <x:row r="75">
      <x:c r="B75" s="292" t="str">
        <x:v>DISTRIBUTION CHECKS</x:v>
      </x:c>
      <x:c r="C75" s="292"/>
      <x:c r="D75" s="292"/>
      <x:c r="E75" s="292"/>
      <x:c r="F75" s="292"/>
      <x:c r="G75" s="292"/>
      <x:c r="H75" s="140"/>
      <x:c r="I75" s="140"/>
      <x:c r="J75" s="140"/>
      <x:c r="K75" s="140"/>
      <x:c r="L75" s="140"/>
      <x:c r="M75" s="140"/>
      <x:c r="N75" s="140"/>
      <x:c r="O75" s="140"/>
      <x:c r="P75" s="140"/>
      <x:c r="Q75" s="140"/>
      <x:c r="R75" s="140"/>
    </x:row>
    <x:row r="76">
      <x:c r="B76" s="303" t="str">
        <x:v>Check</x:v>
      </x:c>
      <x:c r="C76" s="303" t="str">
        <x:v>X</x:v>
      </x:c>
      <x:c r="D76" s="303" t="str">
        <x:v>Y</x:v>
      </x:c>
      <x:c r="E76" s="303" t="str">
        <x:v>Target</x:v>
      </x:c>
      <x:c r="F76" s="303" t="str">
        <x:v>Tolerance</x:v>
      </x:c>
      <x:c r="G76" s="303" t="str">
        <x:v>Status</x:v>
      </x:c>
      <x:c r="H76" s="140"/>
      <x:c r="I76" s="140"/>
      <x:c r="J76" s="140"/>
      <x:c r="K76" s="140"/>
      <x:c r="L76" s="140"/>
      <x:c r="M76" s="140"/>
      <x:c r="N76" s="140"/>
      <x:c r="O76" s="140"/>
      <x:c r="P76" s="140"/>
      <x:c r="Q76" s="140"/>
      <x:c r="R76" s="140"/>
    </x:row>
    <x:row r="77">
      <x:c r="B77" s="140" t="str">
        <x:v>ΣCvx</x:v>
      </x:c>
      <x:c r="C77" s="140" t="str">
        <x:f>IF(COUNT(G54:G59)=0,"",SUM(G54:G59))</x:f>
      </x:c>
      <x:c r="D77" s="140" t="str">
        <x:f>IF(COUNT(G65:G70)=0,"",SUM(G65:G70))</x:f>
      </x:c>
      <x:c r="E77" s="140" t="n">
        <x:v>1</x:v>
      </x:c>
      <x:c r="F77" s="140" t="n">
        <x:v>0.000001</x:v>
      </x:c>
      <x:c r="G77" s="140" t="str">
        <x:f>IF(OR(C77="",D77=""),"PENDING",IF(AND(ABS(C77-1)&lt;=F77,ABS(D77-1)&lt;=F77),"PASS","CHECK"))</x:f>
        <x:v>PENDING</x:v>
      </x:c>
      <x:c r="H77" s="140"/>
      <x:c r="I77" s="140"/>
      <x:c r="J77" s="140"/>
      <x:c r="K77" s="140"/>
      <x:c r="L77" s="140"/>
      <x:c r="M77" s="140"/>
      <x:c r="N77" s="140"/>
      <x:c r="O77" s="140"/>
      <x:c r="P77" s="140"/>
      <x:c r="Q77" s="140"/>
      <x:c r="R77" s="140"/>
    </x:row>
    <x:row r="78">
      <x:c r="B78" s="140" t="str">
        <x:v>ΣFx</x:v>
      </x:c>
      <x:c r="C78" s="140" t="str">
        <x:f>IF(COUNT(H54:H59)=0,"",SUM(H54:H59))</x:f>
      </x:c>
      <x:c r="D78" s="140" t="str">
        <x:f>IF(COUNT(H65:H70)=0,"",SUM(H65:H70))</x:f>
      </x:c>
      <x:c r="E78" s="140" t="str">
        <x:v>Base Shear</x:v>
      </x:c>
      <x:c r="F78" s="140" t="n">
        <x:v>0.001</x:v>
      </x:c>
      <x:c r="G78" s="140" t="str">
        <x:f>IF(OR(C78="",D78="",K31="",K32=""),"PENDING",IF(AND(ABS(C78-K31)&lt;=F78,ABS(D78-K32)&lt;=F78),"PASS","CHECK"))</x:f>
        <x:v>PENDING</x:v>
      </x:c>
      <x:c r="H78" s="140"/>
      <x:c r="I78" s="140"/>
      <x:c r="J78" s="140"/>
      <x:c r="K78" s="140"/>
      <x:c r="L78" s="140"/>
      <x:c r="M78" s="140"/>
      <x:c r="N78" s="140"/>
      <x:c r="O78" s="140"/>
      <x:c r="P78" s="140"/>
      <x:c r="Q78" s="140"/>
      <x:c r="R78" s="140"/>
    </x:row>
    <x:row r="79">
      <x:c r="B79" s="140" t="str">
        <x:v>Base story shear</x:v>
      </x:c>
      <x:c r="C79" s="140" t="str">
        <x:f>IF(I54="","",I54)</x:f>
      </x:c>
      <x:c r="D79" s="140" t="str">
        <x:f>IF(I65="","",I65)</x:f>
      </x:c>
      <x:c r="E79" s="140" t="str">
        <x:v>Base Shear</x:v>
      </x:c>
      <x:c r="F79" s="140" t="n">
        <x:v>0.001</x:v>
      </x:c>
      <x:c r="G79" s="140" t="str">
        <x:f>IF(OR(C79="",D79="",K31="",K32=""),"PENDING",IF(AND(ABS(C79-K31)&lt;=F79,ABS(D79-K32)&lt;=F79),"PASS","CHECK"))</x:f>
        <x:v>PENDING</x:v>
      </x:c>
      <x:c r="H79" s="140"/>
      <x:c r="I79" s="140"/>
      <x:c r="J79" s="140"/>
      <x:c r="K79" s="140"/>
      <x:c r="L79" s="140"/>
      <x:c r="M79" s="140"/>
      <x:c r="N79" s="140"/>
      <x:c r="O79" s="140"/>
      <x:c r="P79" s="140"/>
      <x:c r="Q79" s="140"/>
      <x:c r="R79" s="140"/>
    </x:row>
    <x:row r="80">
      <x:c r="B80" s="140" t="str">
        <x:v>Vertical-distribution overall</x:v>
      </x:c>
      <x:c r="C80" s="140" t="str">
        <x:f>G44</x:f>
        <x:v>PENDING</x:v>
      </x:c>
      <x:c r="D80" s="140" t="str">
        <x:f>IF(AND(G77="PASS",G78="PASS",G79="PASS"),"PASS",IF(OR(G77="CHECK",G78="CHECK",G79="CHECK"),"CHECK","PENDING"))</x:f>
        <x:v>PENDING</x:v>
      </x:c>
      <x:c r="E80" s="140"/>
      <x:c r="F80" s="140"/>
      <x:c r="G80" s="140" t="str">
        <x:f>IF(AND(C80="PASS",D80="PASS"),"PASS",IF(OR(C80="CHECK",D80="CHECK"),"CHECK","PENDING"))</x:f>
        <x:v>PENDING</x:v>
      </x:c>
      <x:c r="H80" s="140"/>
      <x:c r="I80" s="140"/>
      <x:c r="J80" s="140"/>
      <x:c r="K80" s="140"/>
      <x:c r="L80" s="140"/>
      <x:c r="M80" s="140"/>
      <x:c r="N80" s="140"/>
      <x:c r="O80" s="140"/>
      <x:c r="P80" s="140"/>
      <x:c r="Q80" s="140"/>
      <x:c r="R80" s="140"/>
    </x:row>
    <x:row r="81">
      <x:c r="B81" s="140"/>
      <x:c r="C81" s="140"/>
      <x:c r="D81" s="140"/>
      <x:c r="E81" s="140"/>
      <x:c r="F81" s="140"/>
      <x:c r="G81" s="140"/>
      <x:c r="H81" s="140"/>
      <x:c r="I81" s="140"/>
      <x:c r="J81" s="140"/>
      <x:c r="K81" s="140"/>
      <x:c r="L81" s="140"/>
      <x:c r="M81" s="140"/>
      <x:c r="N81" s="140"/>
      <x:c r="O81" s="140"/>
      <x:c r="P81" s="140"/>
      <x:c r="Q81" s="140"/>
      <x:c r="R81" s="140"/>
    </x:row>
    <x:row r="82">
      <x:c r="B82" s="140"/>
      <x:c r="C82" s="140"/>
      <x:c r="D82" s="140"/>
      <x:c r="E82" s="140"/>
      <x:c r="F82" s="140"/>
      <x:c r="G82" s="140"/>
      <x:c r="H82" s="140"/>
      <x:c r="I82" s="140"/>
      <x:c r="J82" s="140"/>
      <x:c r="K82" s="140"/>
      <x:c r="L82" s="140"/>
      <x:c r="M82" s="140"/>
      <x:c r="N82" s="140"/>
      <x:c r="O82" s="140"/>
      <x:c r="P82" s="140"/>
      <x:c r="Q82" s="140"/>
      <x:c r="R82" s="140"/>
    </x:row>
    <x:row r="83">
      <x:c r="B83" s="292" t="str">
        <x:v>SCOPE CONTROLS / NOT YET AUTOMATED</x:v>
      </x:c>
      <x:c r="C83" s="292"/>
      <x:c r="D83" s="292"/>
      <x:c r="E83" s="292"/>
      <x:c r="F83" s="292"/>
      <x:c r="G83" s="292"/>
      <x:c r="H83" s="292"/>
      <x:c r="I83" s="292"/>
      <x:c r="J83" s="292"/>
      <x:c r="K83" s="292"/>
      <x:c r="L83" s="140"/>
      <x:c r="M83" s="140"/>
      <x:c r="N83" s="140"/>
      <x:c r="O83" s="140"/>
      <x:c r="P83" s="140"/>
      <x:c r="Q83" s="140"/>
      <x:c r="R83" s="140"/>
    </x:row>
    <x:row r="84">
      <x:c r="B84" s="303" t="str">
        <x:v>Control</x:v>
      </x:c>
      <x:c r="C84" s="303" t="str">
        <x:v>Status</x:v>
      </x:c>
      <x:c r="D84" s="140" t="str">
        <x:v>Reason / Next Step</x:v>
      </x:c>
      <x:c r="E84" s="140"/>
      <x:c r="F84" s="140"/>
      <x:c r="G84" s="140"/>
      <x:c r="H84" s="140"/>
      <x:c r="I84" s="140"/>
      <x:c r="J84" s="140"/>
      <x:c r="K84" s="140"/>
      <x:c r="L84" s="140"/>
      <x:c r="M84" s="140"/>
      <x:c r="N84" s="140"/>
      <x:c r="O84" s="140"/>
      <x:c r="P84" s="140"/>
      <x:c r="Q84" s="140"/>
      <x:c r="R84" s="140"/>
    </x:row>
    <x:row r="85">
      <x:c r="B85" s="140" t="str">
        <x:v>ELF applicability / irregularities</x:v>
      </x:c>
      <x:c r="C85" s="140" t="str">
        <x:v>REVIEW</x:v>
      </x:c>
      <x:c r="D85" s="140" t="str">
        <x:v>Requires ASCE 7-22 §12.6 procedure-selection and irregularity review.</x:v>
      </x:c>
      <x:c r="E85" s="140"/>
      <x:c r="F85" s="140"/>
      <x:c r="G85" s="140"/>
      <x:c r="H85" s="140"/>
      <x:c r="I85" s="140"/>
      <x:c r="J85" s="140"/>
      <x:c r="K85" s="140"/>
      <x:c r="L85" s="140"/>
      <x:c r="M85" s="140"/>
      <x:c r="N85" s="140"/>
      <x:c r="O85" s="140"/>
      <x:c r="P85" s="140"/>
      <x:c r="Q85" s="140"/>
      <x:c r="R85" s="140"/>
    </x:row>
    <x:row r="86">
      <x:c r="B86" s="140" t="str">
        <x:v>Accidental torsion / diaphragm distribution</x:v>
      </x:c>
      <x:c r="C86" s="140" t="str">
        <x:v>PENDING</x:v>
      </x:c>
      <x:c r="D86" s="140" t="str">
        <x:v>Will be integrated with the lateral-plan / AutoCAD model.</x:v>
      </x:c>
      <x:c r="E86" s="140"/>
      <x:c r="F86" s="140"/>
      <x:c r="G86" s="140"/>
      <x:c r="H86" s="140"/>
      <x:c r="I86" s="140"/>
      <x:c r="J86" s="140"/>
      <x:c r="K86" s="140"/>
      <x:c r="L86" s="140"/>
      <x:c r="M86" s="140"/>
      <x:c r="N86" s="140"/>
      <x:c r="O86" s="140"/>
      <x:c r="P86" s="140"/>
      <x:c r="Q86" s="140"/>
      <x:c r="R86" s="140"/>
    </x:row>
    <x:row r="87">
      <x:c r="B87" s="140" t="str">
        <x:v>Orthogonal seismic effects</x:v>
      </x:c>
      <x:c r="C87" s="140" t="str">
        <x:v>PENDING</x:v>
      </x:c>
      <x:c r="D87" s="140" t="str">
        <x:v>Apply where required by ASCE 7-22 §12.5 after system/layout data exist.</x:v>
      </x:c>
      <x:c r="E87" s="140"/>
      <x:c r="F87" s="140"/>
      <x:c r="G87" s="140"/>
      <x:c r="H87" s="140"/>
      <x:c r="I87" s="140"/>
      <x:c r="J87" s="140"/>
      <x:c r="K87" s="140"/>
      <x:c r="L87" s="140"/>
      <x:c r="M87" s="140"/>
      <x:c r="N87" s="140"/>
      <x:c r="O87" s="140"/>
      <x:c r="P87" s="140"/>
      <x:c r="Q87" s="140"/>
      <x:c r="R87" s="140"/>
    </x:row>
    <x:row r="88">
      <x:c r="B88" s="140" t="str">
        <x:v>Drift / P-Delta</x:v>
      </x:c>
      <x:c r="C88" s="140" t="str">
        <x:v>PENDING</x:v>
      </x:c>
      <x:c r="D88" s="140" t="str">
        <x:v>Needs analytical elastic displacement and diaphragm/frame stiffness model.</x:v>
      </x:c>
      <x:c r="E88" s="140"/>
      <x:c r="F88" s="140"/>
      <x:c r="G88" s="140"/>
      <x:c r="H88" s="140"/>
      <x:c r="I88" s="140"/>
      <x:c r="J88" s="140"/>
      <x:c r="K88" s="140"/>
      <x:c r="L88" s="140"/>
      <x:c r="M88" s="140"/>
      <x:c r="N88" s="140"/>
      <x:c r="O88" s="140"/>
      <x:c r="P88" s="140"/>
      <x:c r="Q88" s="140"/>
      <x:c r="R88" s="140"/>
    </x:row>
    <x:row r="89">
      <x:c r="B89" s="140"/>
      <x:c r="C89" s="140"/>
      <x:c r="D89" s="140"/>
      <x:c r="E89" s="140"/>
      <x:c r="F89" s="140"/>
      <x:c r="G89" s="140"/>
      <x:c r="H89" s="140"/>
      <x:c r="I89" s="140"/>
      <x:c r="J89" s="140"/>
      <x:c r="K89" s="140"/>
      <x:c r="L89" s="140"/>
      <x:c r="M89" s="140"/>
      <x:c r="N89" s="140"/>
      <x:c r="O89" s="140"/>
      <x:c r="P89" s="140"/>
      <x:c r="Q89" s="140"/>
      <x:c r="R89" s="140"/>
    </x:row>
    <x:row r="90">
      <x:c r="B90" s="140"/>
      <x:c r="C90" s="140"/>
      <x:c r="D90" s="140"/>
      <x:c r="E90" s="140"/>
      <x:c r="F90" s="140"/>
      <x:c r="G90" s="140"/>
      <x:c r="H90" s="140"/>
      <x:c r="I90" s="140"/>
      <x:c r="J90" s="140"/>
      <x:c r="K90" s="140"/>
      <x:c r="L90" s="140"/>
      <x:c r="M90" s="140"/>
      <x:c r="N90" s="140"/>
      <x:c r="O90" s="140"/>
      <x:c r="P90" s="140"/>
      <x:c r="Q90" s="140"/>
      <x:c r="R90" s="140"/>
    </x:row>
  </x:sheetData>
  <x:mergeCells>
    <x:mergeCell ref="B2:K2"/>
    <x:mergeCell ref="B4:K4"/>
    <x:mergeCell ref="B6:F6"/>
    <x:mergeCell ref="B24:K24"/>
    <x:mergeCell ref="B35:G35"/>
    <x:mergeCell ref="B47:F47"/>
    <x:mergeCell ref="B75:G75"/>
    <x:mergeCell ref="M2:R2"/>
    <x:mergeCell ref="B83:K83"/>
    <x:mergeCell ref="M11:R11"/>
    <x:mergeCell ref="D84:K84"/>
    <x:mergeCell ref="D85:K85"/>
    <x:mergeCell ref="D86:K86"/>
    <x:mergeCell ref="D87:K87"/>
    <x:mergeCell ref="D88:K88"/>
  </x:mergeCells>
  <x:conditionalFormatting sqref="G44:G44">
    <x:cfRule type="expression" dxfId="40" priority="1">
      <x:formula>G44="PASS"</x:formula>
    </x:cfRule>
    <x:cfRule type="expression" dxfId="41" priority="2">
      <x:formula>G44="CHECK"</x:formula>
    </x:cfRule>
  </x:conditionalFormatting>
  <x:conditionalFormatting sqref="G80:G80">
    <x:cfRule type="expression" dxfId="42" priority="3">
      <x:formula>G80="PASS"</x:formula>
    </x:cfRule>
    <x:cfRule type="expression" dxfId="43" priority="4">
      <x:formula>G80="CHECK"</x:formula>
    </x:cfRule>
  </x:conditionalFormatting>
  <x:conditionalFormatting sqref="R4:R8">
    <x:cfRule type="expression" dxfId="44" priority="5">
      <x:formula>R4="PASS"</x:formula>
    </x:cfRule>
    <x:cfRule type="expression" dxfId="45" priority="6">
      <x:formula>R4="CHECK"</x:formula>
    </x:cfRule>
  </x:conditionalFormatting>
  <x:conditionalFormatting sqref="R9:R9">
    <x:cfRule type="expression" dxfId="48" priority="7">
      <x:formula>R9="PASS"</x:formula>
    </x:cfRule>
    <x:cfRule type="expression" dxfId="49" priority="8">
      <x:formula>R9="CHECK"</x:formula>
    </x:cfRule>
  </x:conditionalFormatting>
  <x:pageMargins left="0.7" right="0.7" top="0.75" bottom="0.75" header="0.3" footer="0.3"/>
</x:worksheet>
</file>

<file path=xl/worksheets/sheet23.xml><?xml version="1.0" encoding="utf-8"?>
<x:worksheet xmlns:x="http://schemas.openxmlformats.org/spreadsheetml/2006/main">
  <x:sheetFormatPr defaultRowHeight="15"/>
  <x:cols>
    <x:col min="2" max="2" width="27" hidden="0" customWidth="1"/>
    <x:col min="3" max="3" width="14" hidden="0" customWidth="1"/>
    <x:col min="4" max="4" width="18" hidden="0" customWidth="1"/>
    <x:col min="5" max="5" width="14" hidden="0" customWidth="1"/>
    <x:col min="6" max="6" width="30" hidden="0" customWidth="1"/>
    <x:col min="7" max="7" width="20" hidden="0" customWidth="1"/>
    <x:col min="8" max="8" width="18" hidden="0" customWidth="1"/>
    <x:col min="9" max="9" width="18" hidden="0" customWidth="1"/>
  </x:cols>
  <x:sheetData>
    <x:row r="1">
      <x:c r="B1" s="140"/>
      <x:c r="C1" s="140"/>
      <x:c r="D1" s="140"/>
      <x:c r="E1" s="140"/>
      <x:c r="F1" s="140"/>
      <x:c r="G1" s="140"/>
      <x:c r="H1" s="140"/>
      <x:c r="I1" s="140"/>
    </x:row>
    <x:row r="2">
      <x:c r="B2" s="279" t="str">
        <x:v>LONGHAND CALCULATION — SEISMIC ELF METHOD 2</x:v>
      </x:c>
      <x:c r="C2" s="279"/>
      <x:c r="D2" s="279"/>
      <x:c r="E2" s="279"/>
      <x:c r="F2" s="279"/>
      <x:c r="G2" s="279"/>
      <x:c r="H2" s="279"/>
      <x:c r="I2" s="140"/>
    </x:row>
    <x:row r="3">
      <x:c r="B3" s="140"/>
      <x:c r="C3" s="140"/>
      <x:c r="D3" s="140"/>
      <x:c r="E3" s="140"/>
      <x:c r="F3" s="140"/>
      <x:c r="G3" s="140"/>
      <x:c r="H3" s="140"/>
      <x:c r="I3" s="140"/>
    </x:row>
    <x:row r="4">
      <x:c r="B4" s="298" t="str">
        <x:v>Printable calculation trace. Select X or Y below. The sheet shows sourced hazard inputs, the period calculation, all controlling Cs candidate equations, base shear, vertical distribution, and an independent algebra check.</x:v>
      </x:c>
      <x:c r="C4" s="298"/>
      <x:c r="D4" s="298"/>
      <x:c r="E4" s="298"/>
      <x:c r="F4" s="298"/>
      <x:c r="G4" s="298"/>
      <x:c r="H4" s="298"/>
      <x:c r="I4" s="140"/>
    </x:row>
    <x:row r="5">
      <x:c r="B5" s="140"/>
      <x:c r="C5" s="140"/>
      <x:c r="D5" s="140"/>
      <x:c r="E5" s="140"/>
      <x:c r="F5" s="140"/>
      <x:c r="G5" s="140"/>
      <x:c r="H5" s="140"/>
      <x:c r="I5" s="140"/>
    </x:row>
    <x:row r="6">
      <x:c r="B6" s="303" t="str">
        <x:v>Direction</x:v>
      </x:c>
      <x:c r="C6" s="307" t="str">
        <x:v>X</x:v>
      </x:c>
      <x:c r="D6" s="303" t="str">
        <x:v>Select X or Y</x:v>
      </x:c>
      <x:c r="E6" s="140"/>
      <x:c r="F6" s="140"/>
      <x:c r="G6" s="140"/>
      <x:c r="H6" s="140"/>
      <x:c r="I6" s="140"/>
    </x:row>
    <x:row r="7">
      <x:c r="B7" s="140"/>
      <x:c r="C7" s="140"/>
      <x:c r="D7" s="140"/>
      <x:c r="E7" s="140"/>
      <x:c r="F7" s="140"/>
      <x:c r="G7" s="140"/>
      <x:c r="H7" s="140"/>
      <x:c r="I7" s="140"/>
    </x:row>
    <x:row r="8">
      <x:c r="B8" s="292" t="str">
        <x:v>1. DESIGN BASIS / HAZARD VALUES</x:v>
      </x:c>
      <x:c r="C8" s="292"/>
      <x:c r="D8" s="292"/>
      <x:c r="E8" s="292"/>
      <x:c r="F8" s="292"/>
      <x:c r="G8" s="292"/>
      <x:c r="H8" s="292"/>
      <x:c r="I8" s="140"/>
    </x:row>
    <x:row r="9">
      <x:c r="B9" s="303" t="str">
        <x:v>Item</x:v>
      </x:c>
      <x:c r="C9" s="303" t="str">
        <x:v>Symbol</x:v>
      </x:c>
      <x:c r="D9" s="303" t="str">
        <x:v>Value</x:v>
      </x:c>
      <x:c r="E9" s="303" t="str">
        <x:v>Unit</x:v>
      </x:c>
      <x:c r="F9" s="303" t="str">
        <x:v>Equation / Source</x:v>
      </x:c>
      <x:c r="G9" s="303" t="str">
        <x:v>Independent Check</x:v>
      </x:c>
      <x:c r="H9" s="303" t="str">
        <x:v>Status</x:v>
      </x:c>
      <x:c r="I9" s="140"/>
    </x:row>
    <x:row r="10">
      <x:c r="B10" s="140" t="str">
        <x:v>Risk Category</x:v>
      </x:c>
      <x:c r="C10" s="140" t="str">
        <x:v>RC</x:v>
      </x:c>
      <x:c r="D10" s="304" t="str">
        <x:f>IF('18_SEISMIC'!C8="","",'18_SEISMIC'!C8)</x:f>
      </x:c>
      <x:c r="E10" s="140"/>
      <x:c r="F10" s="140" t="str">
        <x:v>01_INPUTS / CBC</x:v>
      </x:c>
      <x:c r="G10" s="140"/>
      <x:c r="H10" s="140" t="str">
        <x:f>IF(D10="","MISSING","OK")</x:f>
        <x:v>MISSING</x:v>
      </x:c>
      <x:c r="I10" s="140"/>
    </x:row>
    <x:row r="11">
      <x:c r="B11" s="140" t="str">
        <x:v>Importance Factor</x:v>
      </x:c>
      <x:c r="C11" s="140" t="str">
        <x:v>Ie</x:v>
      </x:c>
      <x:c r="D11" s="304" t="str">
        <x:f>IF('18_SEISMIC'!C9="","",'18_SEISMIC'!C9)</x:f>
      </x:c>
      <x:c r="E11" s="140"/>
      <x:c r="F11" s="140" t="str">
        <x:v>ASCE 7-22 Table 1.5-2</x:v>
      </x:c>
      <x:c r="G11" s="140"/>
      <x:c r="H11" s="140" t="str">
        <x:f>IF(D11="","MISSING","OK")</x:f>
        <x:v>MISSING</x:v>
      </x:c>
      <x:c r="I11" s="140"/>
    </x:row>
    <x:row r="12">
      <x:c r="B12" s="140" t="str">
        <x:v>Site Class</x:v>
      </x:c>
      <x:c r="C12" s="140" t="str">
        <x:v>SC</x:v>
      </x:c>
      <x:c r="D12" s="304" t="str">
        <x:f>IF('18_SEISMIC'!C10="","",'18_SEISMIC'!C10)</x:f>
      </x:c>
      <x:c r="E12" s="140"/>
      <x:c r="F12" s="140" t="str">
        <x:v>ASCE 7-22 Ch. 20</x:v>
      </x:c>
      <x:c r="G12" s="140"/>
      <x:c r="H12" s="140" t="str">
        <x:f>IF(D12="","MISSING","OK")</x:f>
        <x:v>MISSING</x:v>
      </x:c>
      <x:c r="I12" s="140"/>
    </x:row>
    <x:row r="13">
      <x:c r="B13" s="140" t="str">
        <x:v>Design short-period acceleration</x:v>
      </x:c>
      <x:c r="C13" s="140" t="str">
        <x:v>SDS</x:v>
      </x:c>
      <x:c r="D13" s="304" t="str">
        <x:f>IF('18_SEISMIC'!C11="","",'18_SEISMIC'!C11)</x:f>
      </x:c>
      <x:c r="E13" s="140" t="str">
        <x:v>g</x:v>
      </x:c>
      <x:c r="F13" s="140" t="str">
        <x:v>USGS / ASCE 7-22</x:v>
      </x:c>
      <x:c r="G13" s="140"/>
      <x:c r="H13" s="140" t="str">
        <x:f>IF(D13="","MISSING","OK")</x:f>
        <x:v>MISSING</x:v>
      </x:c>
      <x:c r="I13" s="140"/>
    </x:row>
    <x:row r="14">
      <x:c r="B14" s="140" t="str">
        <x:v>Design 1-sec acceleration</x:v>
      </x:c>
      <x:c r="C14" s="140" t="str">
        <x:v>SD1</x:v>
      </x:c>
      <x:c r="D14" s="304" t="str">
        <x:f>IF('18_SEISMIC'!C12="","",'18_SEISMIC'!C12)</x:f>
      </x:c>
      <x:c r="E14" s="140" t="str">
        <x:v>g</x:v>
      </x:c>
      <x:c r="F14" s="140" t="str">
        <x:v>USGS / ASCE 7-22</x:v>
      </x:c>
      <x:c r="G14" s="140"/>
      <x:c r="H14" s="140" t="str">
        <x:f>IF(D14="","MISSING","OK")</x:f>
        <x:v>MISSING</x:v>
      </x:c>
      <x:c r="I14" s="140"/>
    </x:row>
    <x:row r="15">
      <x:c r="B15" s="140" t="str">
        <x:v>Mapped 1-sec MCER acceleration</x:v>
      </x:c>
      <x:c r="C15" s="140" t="str">
        <x:v>S1</x:v>
      </x:c>
      <x:c r="D15" s="304" t="str">
        <x:f>IF('18_SEISMIC'!C14="","",'18_SEISMIC'!C14)</x:f>
      </x:c>
      <x:c r="E15" s="140" t="str">
        <x:v>g</x:v>
      </x:c>
      <x:c r="F15" s="140" t="str">
        <x:v>USGS / ASCE 7-22</x:v>
      </x:c>
      <x:c r="G15" s="140"/>
      <x:c r="H15" s="140" t="str">
        <x:f>IF(D15="","MISSING","OK")</x:f>
        <x:v>MISSING</x:v>
      </x:c>
      <x:c r="I15" s="140"/>
    </x:row>
    <x:row r="16">
      <x:c r="B16" s="140" t="str">
        <x:v>Long-period transition</x:v>
      </x:c>
      <x:c r="C16" s="140" t="str">
        <x:v>TL</x:v>
      </x:c>
      <x:c r="D16" s="304" t="str">
        <x:f>IF('18_SEISMIC'!C15="","",'18_SEISMIC'!C15)</x:f>
      </x:c>
      <x:c r="E16" s="140" t="str">
        <x:v>sec</x:v>
      </x:c>
      <x:c r="F16" s="140" t="str">
        <x:v>USGS / ASCE 7-22</x:v>
      </x:c>
      <x:c r="G16" s="140"/>
      <x:c r="H16" s="140" t="str">
        <x:f>IF(D16="","MISSING","OK")</x:f>
        <x:v>MISSING</x:v>
      </x:c>
      <x:c r="I16" s="140"/>
    </x:row>
    <x:row r="17">
      <x:c r="B17" s="140" t="str">
        <x:v>Seismic Design Category</x:v>
      </x:c>
      <x:c r="C17" s="140" t="str">
        <x:v>SDC</x:v>
      </x:c>
      <x:c r="D17" s="304" t="str">
        <x:f>IF('18_SEISMIC'!C18="","",'18_SEISMIC'!C18)</x:f>
      </x:c>
      <x:c r="E17" s="140"/>
      <x:c r="F17" s="140" t="str">
        <x:v>ASCE 7-22 §11.6 / USGS</x:v>
      </x:c>
      <x:c r="G17" s="140"/>
      <x:c r="H17" s="140" t="str">
        <x:f>IF(D17="","MISSING","OK")</x:f>
        <x:v>MISSING</x:v>
      </x:c>
      <x:c r="I17" s="140"/>
    </x:row>
    <x:row r="18">
      <x:c r="B18" s="140"/>
      <x:c r="C18" s="140"/>
      <x:c r="D18" s="140"/>
      <x:c r="E18" s="140"/>
      <x:c r="F18" s="140"/>
      <x:c r="G18" s="140"/>
      <x:c r="H18" s="140"/>
      <x:c r="I18" s="140"/>
    </x:row>
    <x:row r="19">
      <x:c r="B19" s="140"/>
      <x:c r="C19" s="140"/>
      <x:c r="D19" s="140"/>
      <x:c r="E19" s="140"/>
      <x:c r="F19" s="140"/>
      <x:c r="G19" s="140"/>
      <x:c r="H19" s="140"/>
      <x:c r="I19" s="140"/>
    </x:row>
    <x:row r="20">
      <x:c r="B20" s="292" t="str">
        <x:v>2. STRUCTURAL SYSTEM &amp; PERIOD</x:v>
      </x:c>
      <x:c r="C20" s="292"/>
      <x:c r="D20" s="292"/>
      <x:c r="E20" s="292"/>
      <x:c r="F20" s="292"/>
      <x:c r="G20" s="292"/>
      <x:c r="H20" s="292"/>
      <x:c r="I20" s="140"/>
    </x:row>
    <x:row r="21">
      <x:c r="B21" s="303" t="str">
        <x:v>Item</x:v>
      </x:c>
      <x:c r="C21" s="303" t="str">
        <x:v>Symbol</x:v>
      </x:c>
      <x:c r="D21" s="303" t="str">
        <x:v>Value</x:v>
      </x:c>
      <x:c r="E21" s="303" t="str">
        <x:v>Unit</x:v>
      </x:c>
      <x:c r="F21" s="303" t="str">
        <x:v>Equation / Source</x:v>
      </x:c>
      <x:c r="G21" s="303" t="str">
        <x:v>Substitution / Trace</x:v>
      </x:c>
      <x:c r="H21" s="303" t="str">
        <x:v>Status</x:v>
      </x:c>
      <x:c r="I21" s="140"/>
    </x:row>
    <x:row r="22">
      <x:c r="B22" s="140" t="str">
        <x:v>Structural system</x:v>
      </x:c>
      <x:c r="C22" s="140" t="str">
        <x:v>SFRS</x:v>
      </x:c>
      <x:c r="D22" s="304" t="str">
        <x:f>IF(C6="X",'18_SEISMIC'!C26,IF(C6="Y",'18_SEISMIC'!C27,""))</x:f>
      </x:c>
      <x:c r="E22" s="140"/>
      <x:c r="F22" s="140" t="str">
        <x:v>ASCE 7-22 Table 12.2-1</x:v>
      </x:c>
      <x:c r="G22" s="140"/>
      <x:c r="H22" s="140" t="str">
        <x:f>IF(D22="","PENDING","OK")</x:f>
        <x:v>PENDING</x:v>
      </x:c>
      <x:c r="I22" s="140"/>
    </x:row>
    <x:row r="23">
      <x:c r="B23" s="140" t="str">
        <x:v>Response modification factor</x:v>
      </x:c>
      <x:c r="C23" s="140" t="str">
        <x:v>R</x:v>
      </x:c>
      <x:c r="D23" s="304" t="str">
        <x:f>IF(C6="X",'18_SEISMIC'!D26,IF(C6="Y",'18_SEISMIC'!D27,""))</x:f>
      </x:c>
      <x:c r="E23" s="140"/>
      <x:c r="F23" s="140" t="str">
        <x:v>ASCE 7-22 Table 12.2-1</x:v>
      </x:c>
      <x:c r="G23" s="140"/>
      <x:c r="H23" s="140" t="str">
        <x:f>IF(D23="","PENDING","OK")</x:f>
        <x:v>PENDING</x:v>
      </x:c>
      <x:c r="I23" s="140"/>
    </x:row>
    <x:row r="24">
      <x:c r="B24" s="140" t="str">
        <x:v>Approx. period coefficient</x:v>
      </x:c>
      <x:c r="C24" s="140" t="str">
        <x:v>Ct</x:v>
      </x:c>
      <x:c r="D24" s="304" t="str">
        <x:f>IF(C6="X",'18_SEISMIC'!G26,IF(C6="Y",'18_SEISMIC'!G27,""))</x:f>
      </x:c>
      <x:c r="E24" s="140"/>
      <x:c r="F24" s="140" t="str">
        <x:v>ASCE 7-22 Table 12.8-2</x:v>
      </x:c>
      <x:c r="G24" s="140"/>
      <x:c r="H24" s="140" t="str">
        <x:f>IF(D24="","PENDING","OK")</x:f>
        <x:v>PENDING</x:v>
      </x:c>
      <x:c r="I24" s="140"/>
    </x:row>
    <x:row r="25">
      <x:c r="B25" s="140" t="str">
        <x:v>Approx. period exponent</x:v>
      </x:c>
      <x:c r="C25" s="140" t="str">
        <x:v>x</x:v>
      </x:c>
      <x:c r="D25" s="304" t="str">
        <x:f>IF(C6="X",'18_SEISMIC'!H26,IF(C6="Y",'18_SEISMIC'!H27,""))</x:f>
      </x:c>
      <x:c r="E25" s="140"/>
      <x:c r="F25" s="140" t="str">
        <x:v>ASCE 7-22 Table 12.8-2</x:v>
      </x:c>
      <x:c r="G25" s="140"/>
      <x:c r="H25" s="140" t="str">
        <x:f>IF(D25="","PENDING","OK")</x:f>
        <x:v>PENDING</x:v>
      </x:c>
      <x:c r="I25" s="140"/>
    </x:row>
    <x:row r="26">
      <x:c r="B26" s="140" t="str">
        <x:v>Structural height</x:v>
      </x:c>
      <x:c r="C26" s="140" t="str">
        <x:v>hn</x:v>
      </x:c>
      <x:c r="D26" s="304" t="str">
        <x:f>IF('18_SEISMIC'!C20="","",'18_SEISMIC'!C20)</x:f>
      </x:c>
      <x:c r="E26" s="140" t="str">
        <x:v>ft</x:v>
      </x:c>
      <x:c r="F26" s="140" t="str">
        <x:v>Project geometry</x:v>
      </x:c>
      <x:c r="G26" s="140"/>
      <x:c r="H26" s="140" t="str">
        <x:f>IF(D26="","PENDING","OK")</x:f>
        <x:v>PENDING</x:v>
      </x:c>
      <x:c r="I26" s="140"/>
    </x:row>
    <x:row r="27">
      <x:c r="B27" s="140" t="str">
        <x:v>Approximate period</x:v>
      </x:c>
      <x:c r="C27" s="140" t="str">
        <x:v>Ta</x:v>
      </x:c>
      <x:c r="D27" s="304" t="str">
        <x:f>IF(C6="X",'18_SEISMIC'!C31,IF(C6="Y",'18_SEISMIC'!C32,""))</x:f>
      </x:c>
      <x:c r="E27" s="140" t="str">
        <x:v>sec</x:v>
      </x:c>
      <x:c r="F27" s="140" t="str">
        <x:f>IF(OR(D24="",D26="",D25=""),"",TEXT(D24,"0.000")&amp;" × "&amp;TEXT(D26,"0.00")&amp;"^"&amp;TEXT(D25,"0.00"))</x:f>
      </x:c>
      <x:c r="G27" s="140"/>
      <x:c r="H27" s="140" t="str">
        <x:f>IF(D27="","PENDING","OK")</x:f>
        <x:v>PENDING</x:v>
      </x:c>
      <x:c r="I27" s="140"/>
    </x:row>
    <x:row r="28">
      <x:c r="B28" s="140" t="str">
        <x:v>Upper-limit coefficient</x:v>
      </x:c>
      <x:c r="C28" s="140" t="str">
        <x:v>Cu</x:v>
      </x:c>
      <x:c r="D28" s="304" t="str">
        <x:f>IF(C6="X",'18_SEISMIC'!I26,IF(C6="Y",'18_SEISMIC'!I27,""))</x:f>
      </x:c>
      <x:c r="E28" s="140"/>
      <x:c r="F28" s="140" t="str">
        <x:v>ASCE 7-22 Table 12.8-1</x:v>
      </x:c>
      <x:c r="G28" s="140"/>
      <x:c r="H28" s="140" t="str">
        <x:f>IF(D28="","PENDING","OK")</x:f>
        <x:v>PENDING</x:v>
      </x:c>
      <x:c r="I28" s="140"/>
    </x:row>
    <x:row r="29">
      <x:c r="B29" s="140" t="str">
        <x:v>Analytical period</x:v>
      </x:c>
      <x:c r="C29" s="140" t="str">
        <x:v>Tanalysis</x:v>
      </x:c>
      <x:c r="D29" s="304" t="str">
        <x:f>IF(C6="X",'18_SEISMIC'!J26,IF(C6="Y",'18_SEISMIC'!J27,""))</x:f>
      </x:c>
      <x:c r="E29" s="140" t="str">
        <x:v>sec</x:v>
      </x:c>
      <x:c r="F29" s="140" t="str">
        <x:v>Optional structural analysis</x:v>
      </x:c>
      <x:c r="G29" s="140"/>
      <x:c r="H29" s="140" t="str">
        <x:f>IF(D29="","PENDING","OK")</x:f>
        <x:v>PENDING</x:v>
      </x:c>
      <x:c r="I29" s="140"/>
    </x:row>
    <x:row r="30">
      <x:c r="B30" s="140" t="str">
        <x:v>Upper permitted period</x:v>
      </x:c>
      <x:c r="C30" s="140" t="str">
        <x:v>CuTa</x:v>
      </x:c>
      <x:c r="D30" s="304" t="str">
        <x:f>IF(C6="X",'18_SEISMIC'!D31,IF(C6="Y",'18_SEISMIC'!D32,""))</x:f>
      </x:c>
      <x:c r="E30" s="140" t="str">
        <x:v>sec</x:v>
      </x:c>
      <x:c r="F30" s="140" t="str">
        <x:f>IF(OR(D28="",D27=""),"",TEXT(D28,"0.000")&amp;" × "&amp;TEXT(D27,"0.000"))</x:f>
      </x:c>
      <x:c r="G30" s="140"/>
      <x:c r="H30" s="140" t="str">
        <x:f>IF(D30="","PENDING","OK")</x:f>
        <x:v>PENDING</x:v>
      </x:c>
      <x:c r="I30" s="140"/>
    </x:row>
    <x:row r="31">
      <x:c r="B31" s="140" t="str">
        <x:v>Period used for ELF</x:v>
      </x:c>
      <x:c r="C31" s="140" t="str">
        <x:v>T</x:v>
      </x:c>
      <x:c r="D31" s="304" t="str">
        <x:f>IF(C6="X",'18_SEISMIC'!E31,IF(C6="Y",'18_SEISMIC'!E32,""))</x:f>
      </x:c>
      <x:c r="E31" s="140" t="str">
        <x:v>sec</x:v>
      </x:c>
      <x:c r="F31" s="140" t="str">
        <x:f>IF(D29="","Ta used because no analytical period entered","min(Tanalysis, CuTa)")</x:f>
        <x:v>Ta used because no analytical period entered</x:v>
      </x:c>
      <x:c r="G31" s="140"/>
      <x:c r="H31" s="140" t="str">
        <x:f>IF(D31="","PENDING","OK")</x:f>
        <x:v>PENDING</x:v>
      </x:c>
      <x:c r="I31" s="140"/>
    </x:row>
    <x:row r="32">
      <x:c r="B32" s="140"/>
      <x:c r="C32" s="140"/>
      <x:c r="D32" s="140"/>
      <x:c r="E32" s="140"/>
      <x:c r="F32" s="140"/>
      <x:c r="G32" s="140"/>
      <x:c r="H32" s="140"/>
      <x:c r="I32" s="140"/>
    </x:row>
    <x:row r="33">
      <x:c r="B33" s="140"/>
      <x:c r="C33" s="140"/>
      <x:c r="D33" s="140"/>
      <x:c r="E33" s="140"/>
      <x:c r="F33" s="140"/>
      <x:c r="G33" s="140"/>
      <x:c r="H33" s="140"/>
      <x:c r="I33" s="140"/>
    </x:row>
    <x:row r="34">
      <x:c r="B34" s="292" t="str">
        <x:v>3. SEISMIC RESPONSE COEFFICIENT Cs — METHOD 2</x:v>
      </x:c>
      <x:c r="C34" s="292"/>
      <x:c r="D34" s="292"/>
      <x:c r="E34" s="292"/>
      <x:c r="F34" s="292"/>
      <x:c r="G34" s="292"/>
      <x:c r="H34" s="292"/>
      <x:c r="I34" s="140"/>
    </x:row>
    <x:row r="35">
      <x:c r="B35" s="303" t="str">
        <x:v>Check</x:v>
      </x:c>
      <x:c r="C35" s="303" t="str">
        <x:v>Equation</x:v>
      </x:c>
      <x:c r="D35" s="303" t="str">
        <x:v>Result</x:v>
      </x:c>
      <x:c r="E35" s="303" t="str">
        <x:v>Limit Type</x:v>
      </x:c>
      <x:c r="F35" s="303" t="str">
        <x:v>Reference</x:v>
      </x:c>
      <x:c r="G35" s="303" t="str">
        <x:v>Independent Result</x:v>
      </x:c>
      <x:c r="H35" s="303" t="str">
        <x:v>Status</x:v>
      </x:c>
      <x:c r="I35" s="140"/>
    </x:row>
    <x:row r="36">
      <x:c r="B36" s="140" t="str">
        <x:v>Initial Cs</x:v>
      </x:c>
      <x:c r="C36" s="140" t="str">
        <x:v>SDS/(R/Ie)</x:v>
      </x:c>
      <x:c r="D36" s="304" t="str">
        <x:f>IF(C6="X",'18_SEISMIC'!F31,IF(C6="Y",'18_SEISMIC'!F32,""))</x:f>
      </x:c>
      <x:c r="E36" s="140" t="str">
        <x:v>candidate</x:v>
      </x:c>
      <x:c r="F36" s="140" t="str">
        <x:v>ASCE 7-22 Eq. 12.8-3</x:v>
      </x:c>
      <x:c r="G36" s="304" t="str">
        <x:f>IF(OR(D13="",D23="",D11=""),"",D13/(D23/D11))</x:f>
      </x:c>
      <x:c r="H36" s="140" t="str">
        <x:f>IF(OR(D36="",G36=""),"PENDING",IF(ABS(D36-G36)&lt;=0.000001,"PASS","CHECK"))</x:f>
        <x:v>PENDING</x:v>
      </x:c>
      <x:c r="I36" s="140"/>
    </x:row>
    <x:row r="37">
      <x:c r="B37" s="140" t="str">
        <x:v>Upper Cs</x:v>
      </x:c>
      <x:c r="C37" s="140" t="str">
        <x:v>SD1/[T(R/Ie)] or SD1·TL/[T²(R/Ie)]</x:v>
      </x:c>
      <x:c r="D37" s="304" t="str">
        <x:f>IF(C6="X",'18_SEISMIC'!G31,IF(C6="Y",'18_SEISMIC'!G32,""))</x:f>
      </x:c>
      <x:c r="E37" s="140" t="str">
        <x:v>maximum</x:v>
      </x:c>
      <x:c r="F37" s="140" t="str">
        <x:v>ASCE 7-22 Eqs. 12.8-4 / 12.8-5</x:v>
      </x:c>
      <x:c r="G37" s="304" t="str">
        <x:f>IF(OR(D14="",D31="",D16="",D23="",D11=""),"",IF(D31&lt;=D16,D14/(D31*(D23/D11)),D14*D16/(POWER(D31,2)*(D23/D11))))</x:f>
      </x:c>
      <x:c r="H37" s="140" t="str">
        <x:f>IF(OR(D37="",G37=""),"PENDING",IF(ABS(D37-G37)&lt;=0.000001,"PASS","CHECK"))</x:f>
        <x:v>PENDING</x:v>
      </x:c>
      <x:c r="I37" s="140"/>
    </x:row>
    <x:row r="38">
      <x:c r="B38" s="140" t="str">
        <x:v>Lower Cs #1</x:v>
      </x:c>
      <x:c r="C38" s="140" t="str">
        <x:v>max(0.044·SDS·Ie, 0.01)</x:v>
      </x:c>
      <x:c r="D38" s="304" t="str">
        <x:f>IF(C6="X",'18_SEISMIC'!H31,IF(C6="Y",'18_SEISMIC'!H32,""))</x:f>
      </x:c>
      <x:c r="E38" s="140" t="str">
        <x:v>minimum</x:v>
      </x:c>
      <x:c r="F38" s="140" t="str">
        <x:v>ASCE 7-22 Eq. 12.8-6</x:v>
      </x:c>
      <x:c r="G38" s="304" t="str">
        <x:f>IF(OR(D13="",D11=""),"",MAX(0.044*D13*D11,0.01))</x:f>
      </x:c>
      <x:c r="H38" s="140" t="str">
        <x:f>IF(OR(D38="",G38=""),"PENDING",IF(ABS(D38-G38)&lt;=0.000001,"PASS","CHECK"))</x:f>
        <x:v>PENDING</x:v>
      </x:c>
      <x:c r="I38" s="140"/>
    </x:row>
    <x:row r="39">
      <x:c r="B39" s="140" t="str">
        <x:v>Lower Cs #2</x:v>
      </x:c>
      <x:c r="C39" s="140" t="str">
        <x:v>0.5·S1/(R/Ie) when S1 ≥ 0.6</x:v>
      </x:c>
      <x:c r="D39" s="304" t="str">
        <x:f>IF(C6="X",'18_SEISMIC'!I31,IF(C6="Y",'18_SEISMIC'!I32,""))</x:f>
      </x:c>
      <x:c r="E39" s="140" t="str">
        <x:v>minimum</x:v>
      </x:c>
      <x:c r="F39" s="140" t="str">
        <x:v>ASCE 7-22 Eq. 12.8-7</x:v>
      </x:c>
      <x:c r="G39" s="304" t="str">
        <x:f>IF(OR(D15="",D23="",D11=""),"",IF(D15&gt;=0.6,0.5*D15/(D23/D11),0))</x:f>
      </x:c>
      <x:c r="H39" s="140" t="str">
        <x:f>IF(OR(D39="",G39=""),"PENDING",IF(ABS(D39-G39)&lt;=0.000001,"PASS","CHECK"))</x:f>
        <x:v>PENDING</x:v>
      </x:c>
      <x:c r="I39" s="140"/>
    </x:row>
    <x:row r="40">
      <x:c r="B40" s="140" t="str">
        <x:v>Governing Cs</x:v>
      </x:c>
      <x:c r="C40" s="140" t="str">
        <x:v>max(lower bounds, min(initial, upper))</x:v>
      </x:c>
      <x:c r="D40" s="304" t="str">
        <x:f>IF(C6="X",'18_SEISMIC'!J31,IF(C6="Y",'18_SEISMIC'!J32,""))</x:f>
      </x:c>
      <x:c r="E40" s="140" t="str">
        <x:v>governing</x:v>
      </x:c>
      <x:c r="F40" s="140" t="str">
        <x:v>ASCE 7-22 §12.8.1.1</x:v>
      </x:c>
      <x:c r="G40" s="304" t="str">
        <x:f>IF(OR(G36="",G37="",G38="",G39=""),"",MAX(G38,G39,MIN(G36,G37)))</x:f>
      </x:c>
      <x:c r="H40" s="140" t="str">
        <x:f>IF(OR(D40="",G40=""),"PENDING",IF(ABS(D40-G40)&lt;=0.000001,"PASS","CHECK"))</x:f>
        <x:v>PENDING</x:v>
      </x:c>
      <x:c r="I40" s="140"/>
    </x:row>
    <x:row r="41">
      <x:c r="B41" s="140"/>
      <x:c r="C41" s="140"/>
      <x:c r="D41" s="140"/>
      <x:c r="E41" s="140"/>
      <x:c r="F41" s="140"/>
      <x:c r="G41" s="140"/>
      <x:c r="H41" s="140"/>
      <x:c r="I41" s="140"/>
    </x:row>
    <x:row r="42">
      <x:c r="B42" s="140"/>
      <x:c r="C42" s="140"/>
      <x:c r="D42" s="140"/>
      <x:c r="E42" s="140"/>
      <x:c r="F42" s="140"/>
      <x:c r="G42" s="140"/>
      <x:c r="H42" s="140"/>
      <x:c r="I42" s="140"/>
    </x:row>
    <x:row r="43">
      <x:c r="B43" s="292" t="str">
        <x:v>4. BASE SHEAR &amp; SEISMIC LOAD EFFECT</x:v>
      </x:c>
      <x:c r="C43" s="292"/>
      <x:c r="D43" s="292"/>
      <x:c r="E43" s="292"/>
      <x:c r="F43" s="292"/>
      <x:c r="G43" s="292"/>
      <x:c r="H43" s="292"/>
      <x:c r="I43" s="140"/>
    </x:row>
    <x:row r="44">
      <x:c r="B44" s="303" t="str">
        <x:v>Item</x:v>
      </x:c>
      <x:c r="C44" s="303" t="str">
        <x:v>Equation</x:v>
      </x:c>
      <x:c r="D44" s="303" t="str">
        <x:v>Result</x:v>
      </x:c>
      <x:c r="E44" s="303" t="str">
        <x:v>Unit</x:v>
      </x:c>
      <x:c r="F44" s="303" t="str">
        <x:v>Source</x:v>
      </x:c>
      <x:c r="G44" s="303" t="str">
        <x:v>Independent Result</x:v>
      </x:c>
      <x:c r="H44" s="303" t="str">
        <x:v>Status</x:v>
      </x:c>
      <x:c r="I44" s="140"/>
    </x:row>
    <x:row r="45">
      <x:c r="B45" s="140" t="str">
        <x:v>Effective seismic weight W</x:v>
      </x:c>
      <x:c r="C45" s="140" t="str">
        <x:v>Σwi or explicit W</x:v>
      </x:c>
      <x:c r="D45" s="304" t="str">
        <x:f>IF('18_SEISMIC'!C19="","",'18_SEISMIC'!C19)</x:f>
      </x:c>
      <x:c r="E45" s="140" t="str">
        <x:v>kips</x:v>
      </x:c>
      <x:c r="F45" s="140" t="str">
        <x:v>ASCE 7-22 §12.7.2</x:v>
      </x:c>
      <x:c r="G45" s="140"/>
      <x:c r="H45" s="140" t="str">
        <x:f>IF(D45="","PENDING","OK")</x:f>
        <x:v>PENDING</x:v>
      </x:c>
      <x:c r="I45" s="140"/>
    </x:row>
    <x:row r="46">
      <x:c r="B46" s="140" t="str">
        <x:v>Base shear V</x:v>
      </x:c>
      <x:c r="C46" s="140" t="str">
        <x:v>Cs·W</x:v>
      </x:c>
      <x:c r="D46" s="304" t="str">
        <x:f>IF(C6="X",'18_SEISMIC'!K31,IF(C6="Y",'18_SEISMIC'!K32,""))</x:f>
      </x:c>
      <x:c r="E46" s="140" t="str">
        <x:v>kips</x:v>
      </x:c>
      <x:c r="F46" s="140" t="str">
        <x:v>ASCE 7-22 Eq. 12.8-1</x:v>
      </x:c>
      <x:c r="G46" s="140" t="str">
        <x:f>IF(OR(G40="",D45=""),"",G40*D45)</x:f>
      </x:c>
      <x:c r="H46" s="140" t="str">
        <x:f>IF(OR(D46="",G46=""),"PENDING",IF(ABS(D46-G46)&lt;=0.001,"PASS","CHECK"))</x:f>
        <x:v>PENDING</x:v>
      </x:c>
      <x:c r="I46" s="140"/>
    </x:row>
    <x:row r="47">
      <x:c r="B47" s="140" t="str">
        <x:v>Redundancy factor ρ</x:v>
      </x:c>
      <x:c r="C47" s="140" t="str">
        <x:v>Engineer/code determination</x:v>
      </x:c>
      <x:c r="D47" s="304" t="str">
        <x:f>IF(C6="X",'18_SEISMIC'!K26,IF(C6="Y",'18_SEISMIC'!K27,""))</x:f>
      </x:c>
      <x:c r="E47" s="140"/>
      <x:c r="F47" s="140" t="str">
        <x:v>ASCE 7-22 §12.3.4</x:v>
      </x:c>
      <x:c r="G47" s="140"/>
      <x:c r="H47" s="140" t="str">
        <x:f>IF(D47="","PENDING","OK")</x:f>
        <x:v>PENDING</x:v>
      </x:c>
      <x:c r="I47" s="140"/>
    </x:row>
    <x:row r="48">
      <x:c r="B48" s="140" t="str">
        <x:v>Vertical seismic effect coefficient</x:v>
      </x:c>
      <x:c r="C48" s="140" t="str">
        <x:v>Ev/D = 0.2·SDS</x:v>
      </x:c>
      <x:c r="D48" s="304" t="str">
        <x:f>IF('18_SEISMIC'!C41="","",'18_SEISMIC'!C41)</x:f>
      </x:c>
      <x:c r="E48" s="140" t="str">
        <x:v>×D</x:v>
      </x:c>
      <x:c r="F48" s="140" t="str">
        <x:v>ASCE 7-22 §12.4.2.2</x:v>
      </x:c>
      <x:c r="G48" s="140" t="str">
        <x:f>IF(D13="","",0.2*D13)</x:f>
      </x:c>
      <x:c r="H48" s="140" t="str">
        <x:f>IF(OR(D48="",G48=""),"PENDING",IF(ABS(D48-G48)&lt;=0.001,"PASS","CHECK"))</x:f>
        <x:v>PENDING</x:v>
      </x:c>
      <x:c r="I48" s="140"/>
    </x:row>
    <x:row r="49">
      <x:c r="B49" s="140" t="str">
        <x:v>Horizontal seismic effect</x:v>
      </x:c>
      <x:c r="C49" s="140" t="str">
        <x:v>Eh = ρ·QE</x:v>
      </x:c>
      <x:c r="D49" s="304" t="str">
        <x:f>IF(D47="","",D47)</x:f>
      </x:c>
      <x:c r="E49" s="140" t="str">
        <x:v>×QE</x:v>
      </x:c>
      <x:c r="F49" s="140" t="str">
        <x:v>ASCE 7-22 §12.4.2.1</x:v>
      </x:c>
      <x:c r="G49" s="140" t="str">
        <x:f>D47</x:f>
      </x:c>
      <x:c r="H49" s="140" t="str">
        <x:f>IF(OR(D49="",G49=""),"PENDING",IF(ABS(D49-G49)&lt;=0.001,"PASS","CHECK"))</x:f>
        <x:v>PENDING</x:v>
      </x:c>
      <x:c r="I49" s="140"/>
    </x:row>
    <x:row r="50">
      <x:c r="B50" s="140"/>
      <x:c r="C50" s="140"/>
      <x:c r="D50" s="140"/>
      <x:c r="E50" s="140"/>
      <x:c r="F50" s="140"/>
      <x:c r="G50" s="140"/>
      <x:c r="H50" s="140"/>
      <x:c r="I50" s="140"/>
    </x:row>
    <x:row r="51">
      <x:c r="B51" s="140"/>
      <x:c r="C51" s="140"/>
      <x:c r="D51" s="140"/>
      <x:c r="E51" s="140"/>
      <x:c r="F51" s="140"/>
      <x:c r="G51" s="140"/>
      <x:c r="H51" s="140"/>
      <x:c r="I51" s="140"/>
    </x:row>
    <x:row r="52">
      <x:c r="B52" s="292" t="str">
        <x:v>5. VERTICAL DISTRIBUTION OF BASE SHEAR</x:v>
      </x:c>
      <x:c r="C52" s="292"/>
      <x:c r="D52" s="292"/>
      <x:c r="E52" s="292"/>
      <x:c r="F52" s="292"/>
      <x:c r="G52" s="292"/>
      <x:c r="H52" s="292"/>
      <x:c r="I52" s="292"/>
    </x:row>
    <x:row r="53">
      <x:c r="B53" s="303" t="str">
        <x:v>Level</x:v>
      </x:c>
      <x:c r="C53" s="303" t="str">
        <x:v>hx (ft)</x:v>
      </x:c>
      <x:c r="D53" s="303" t="str">
        <x:v>wx (kips)</x:v>
      </x:c>
      <x:c r="E53" s="303" t="str">
        <x:v>hx^k</x:v>
      </x:c>
      <x:c r="F53" s="303" t="str">
        <x:v>wx·hx^k</x:v>
      </x:c>
      <x:c r="G53" s="303" t="str">
        <x:v>Cvx</x:v>
      </x:c>
      <x:c r="H53" s="303" t="str">
        <x:v>Fx (kips)</x:v>
      </x:c>
      <x:c r="I53" s="303" t="str">
        <x:v>Story Shear Vx</x:v>
      </x:c>
    </x:row>
    <x:row r="54">
      <x:c r="B54" s="140" t="str">
        <x:v>L1</x:v>
      </x:c>
      <x:c r="C54" s="140" t="str">
        <x:f>IF(C6="X",'18_SEISMIC'!C54,IF(C6="Y",'18_SEISMIC'!C65,""))</x:f>
      </x:c>
      <x:c r="D54" s="140" t="str">
        <x:f>IF(C6="X",'18_SEISMIC'!D54,IF(C6="Y",'18_SEISMIC'!D65,""))</x:f>
      </x:c>
      <x:c r="E54" s="140" t="str">
        <x:f>IF(C6="X",'18_SEISMIC'!E54,IF(C6="Y",'18_SEISMIC'!E65,""))</x:f>
      </x:c>
      <x:c r="F54" s="140" t="str">
        <x:f>IF(C6="X",'18_SEISMIC'!F54,IF(C6="Y",'18_SEISMIC'!F65,""))</x:f>
      </x:c>
      <x:c r="G54" s="140" t="str">
        <x:f>IF(C6="X",'18_SEISMIC'!G54,IF(C6="Y",'18_SEISMIC'!G65,""))</x:f>
      </x:c>
      <x:c r="H54" s="140" t="str">
        <x:f>IF(C6="X",'18_SEISMIC'!H54,IF(C6="Y",'18_SEISMIC'!H65,""))</x:f>
      </x:c>
      <x:c r="I54" s="140" t="str">
        <x:f>IF(C6="X",'18_SEISMIC'!I54,IF(C6="Y",'18_SEISMIC'!I65,""))</x:f>
      </x:c>
    </x:row>
    <x:row r="55">
      <x:c r="B55" s="140" t="str">
        <x:v>L2</x:v>
      </x:c>
      <x:c r="C55" s="140" t="str">
        <x:f>IF(C6="X",'18_SEISMIC'!C55,IF(C6="Y",'18_SEISMIC'!C66,""))</x:f>
      </x:c>
      <x:c r="D55" s="140" t="str">
        <x:f>IF(C6="X",'18_SEISMIC'!D55,IF(C6="Y",'18_SEISMIC'!D66,""))</x:f>
      </x:c>
      <x:c r="E55" s="140" t="str">
        <x:f>IF(C6="X",'18_SEISMIC'!E55,IF(C6="Y",'18_SEISMIC'!E66,""))</x:f>
      </x:c>
      <x:c r="F55" s="140" t="str">
        <x:f>IF(C6="X",'18_SEISMIC'!F55,IF(C6="Y",'18_SEISMIC'!F66,""))</x:f>
      </x:c>
      <x:c r="G55" s="140" t="str">
        <x:f>IF(C6="X",'18_SEISMIC'!G55,IF(C6="Y",'18_SEISMIC'!G66,""))</x:f>
      </x:c>
      <x:c r="H55" s="140" t="str">
        <x:f>IF(C6="X",'18_SEISMIC'!H55,IF(C6="Y",'18_SEISMIC'!H66,""))</x:f>
      </x:c>
      <x:c r="I55" s="140" t="str">
        <x:f>IF(C6="X",'18_SEISMIC'!I55,IF(C6="Y",'18_SEISMIC'!I66,""))</x:f>
      </x:c>
    </x:row>
    <x:row r="56">
      <x:c r="B56" s="140" t="str">
        <x:v>L3</x:v>
      </x:c>
      <x:c r="C56" s="140" t="str">
        <x:f>IF(C6="X",'18_SEISMIC'!C56,IF(C6="Y",'18_SEISMIC'!C67,""))</x:f>
      </x:c>
      <x:c r="D56" s="140" t="str">
        <x:f>IF(C6="X",'18_SEISMIC'!D56,IF(C6="Y",'18_SEISMIC'!D67,""))</x:f>
      </x:c>
      <x:c r="E56" s="140" t="str">
        <x:f>IF(C6="X",'18_SEISMIC'!E56,IF(C6="Y",'18_SEISMIC'!E67,""))</x:f>
      </x:c>
      <x:c r="F56" s="140" t="str">
        <x:f>IF(C6="X",'18_SEISMIC'!F56,IF(C6="Y",'18_SEISMIC'!F67,""))</x:f>
      </x:c>
      <x:c r="G56" s="140" t="str">
        <x:f>IF(C6="X",'18_SEISMIC'!G56,IF(C6="Y",'18_SEISMIC'!G67,""))</x:f>
      </x:c>
      <x:c r="H56" s="140" t="str">
        <x:f>IF(C6="X",'18_SEISMIC'!H56,IF(C6="Y",'18_SEISMIC'!H67,""))</x:f>
      </x:c>
      <x:c r="I56" s="140" t="str">
        <x:f>IF(C6="X",'18_SEISMIC'!I56,IF(C6="Y",'18_SEISMIC'!I67,""))</x:f>
      </x:c>
    </x:row>
    <x:row r="57">
      <x:c r="B57" s="140" t="str">
        <x:v>L4</x:v>
      </x:c>
      <x:c r="C57" s="140" t="str">
        <x:f>IF(C6="X",'18_SEISMIC'!C57,IF(C6="Y",'18_SEISMIC'!C68,""))</x:f>
      </x:c>
      <x:c r="D57" s="140" t="str">
        <x:f>IF(C6="X",'18_SEISMIC'!D57,IF(C6="Y",'18_SEISMIC'!D68,""))</x:f>
      </x:c>
      <x:c r="E57" s="140" t="str">
        <x:f>IF(C6="X",'18_SEISMIC'!E57,IF(C6="Y",'18_SEISMIC'!E68,""))</x:f>
      </x:c>
      <x:c r="F57" s="140" t="str">
        <x:f>IF(C6="X",'18_SEISMIC'!F57,IF(C6="Y",'18_SEISMIC'!F68,""))</x:f>
      </x:c>
      <x:c r="G57" s="140" t="str">
        <x:f>IF(C6="X",'18_SEISMIC'!G57,IF(C6="Y",'18_SEISMIC'!G68,""))</x:f>
      </x:c>
      <x:c r="H57" s="140" t="str">
        <x:f>IF(C6="X",'18_SEISMIC'!H57,IF(C6="Y",'18_SEISMIC'!H68,""))</x:f>
      </x:c>
      <x:c r="I57" s="140" t="str">
        <x:f>IF(C6="X",'18_SEISMIC'!I57,IF(C6="Y",'18_SEISMIC'!I68,""))</x:f>
      </x:c>
    </x:row>
    <x:row r="58">
      <x:c r="B58" s="140" t="str">
        <x:v>L5</x:v>
      </x:c>
      <x:c r="C58" s="140" t="str">
        <x:f>IF(C6="X",'18_SEISMIC'!C58,IF(C6="Y",'18_SEISMIC'!C69,""))</x:f>
      </x:c>
      <x:c r="D58" s="140" t="str">
        <x:f>IF(C6="X",'18_SEISMIC'!D58,IF(C6="Y",'18_SEISMIC'!D69,""))</x:f>
      </x:c>
      <x:c r="E58" s="140" t="str">
        <x:f>IF(C6="X",'18_SEISMIC'!E58,IF(C6="Y",'18_SEISMIC'!E69,""))</x:f>
      </x:c>
      <x:c r="F58" s="140" t="str">
        <x:f>IF(C6="X",'18_SEISMIC'!F58,IF(C6="Y",'18_SEISMIC'!F69,""))</x:f>
      </x:c>
      <x:c r="G58" s="140" t="str">
        <x:f>IF(C6="X",'18_SEISMIC'!G58,IF(C6="Y",'18_SEISMIC'!G69,""))</x:f>
      </x:c>
      <x:c r="H58" s="140" t="str">
        <x:f>IF(C6="X",'18_SEISMIC'!H58,IF(C6="Y",'18_SEISMIC'!H69,""))</x:f>
      </x:c>
      <x:c r="I58" s="140" t="str">
        <x:f>IF(C6="X",'18_SEISMIC'!I58,IF(C6="Y",'18_SEISMIC'!I69,""))</x:f>
      </x:c>
    </x:row>
    <x:row r="59">
      <x:c r="B59" s="140" t="str">
        <x:v>L6</x:v>
      </x:c>
      <x:c r="C59" s="140" t="str">
        <x:f>IF(C6="X",'18_SEISMIC'!C59,IF(C6="Y",'18_SEISMIC'!C70,""))</x:f>
      </x:c>
      <x:c r="D59" s="140" t="str">
        <x:f>IF(C6="X",'18_SEISMIC'!D59,IF(C6="Y",'18_SEISMIC'!D70,""))</x:f>
      </x:c>
      <x:c r="E59" s="140" t="str">
        <x:f>IF(C6="X",'18_SEISMIC'!E59,IF(C6="Y",'18_SEISMIC'!E70,""))</x:f>
      </x:c>
      <x:c r="F59" s="140" t="str">
        <x:f>IF(C6="X",'18_SEISMIC'!F59,IF(C6="Y",'18_SEISMIC'!F70,""))</x:f>
      </x:c>
      <x:c r="G59" s="140" t="str">
        <x:f>IF(C6="X",'18_SEISMIC'!G59,IF(C6="Y",'18_SEISMIC'!G70,""))</x:f>
      </x:c>
      <x:c r="H59" s="140" t="str">
        <x:f>IF(C6="X",'18_SEISMIC'!H59,IF(C6="Y",'18_SEISMIC'!H70,""))</x:f>
      </x:c>
      <x:c r="I59" s="140" t="str">
        <x:f>IF(C6="X",'18_SEISMIC'!I59,IF(C6="Y",'18_SEISMIC'!I70,""))</x:f>
      </x:c>
    </x:row>
    <x:row r="60">
      <x:c r="B60" s="140"/>
      <x:c r="C60" s="140"/>
      <x:c r="D60" s="140"/>
      <x:c r="E60" s="140"/>
      <x:c r="F60" s="140"/>
      <x:c r="G60" s="140"/>
      <x:c r="H60" s="140"/>
      <x:c r="I60" s="140"/>
    </x:row>
    <x:row r="61">
      <x:c r="B61" s="140" t="str">
        <x:v>CHECK</x:v>
      </x:c>
      <x:c r="C61" s="140" t="str">
        <x:f>IF(COUNT(D54:D59)=0,"",SUM(D54:D59))</x:f>
      </x:c>
      <x:c r="D61" s="140"/>
      <x:c r="E61" s="140"/>
      <x:c r="F61" s="140" t="str">
        <x:f>IF(COUNT(F54:F59)=0,"",SUM(F54:F59))</x:f>
      </x:c>
      <x:c r="G61" s="140" t="str">
        <x:f>IF(COUNT(G54:G59)=0,"",SUM(G54:G59))</x:f>
      </x:c>
      <x:c r="H61" s="140" t="str">
        <x:f>IF(COUNT(H54:H59)=0,"",SUM(H54:H59))</x:f>
      </x:c>
      <x:c r="I61" s="140" t="str">
        <x:f>IF(I54="","",I54)</x:f>
      </x:c>
    </x:row>
    <x:row r="62">
      <x:c r="B62" s="140"/>
      <x:c r="C62" s="140"/>
      <x:c r="D62" s="140"/>
      <x:c r="E62" s="140"/>
      <x:c r="F62" s="140"/>
      <x:c r="G62" s="140"/>
      <x:c r="H62" s="140"/>
      <x:c r="I62" s="140"/>
    </x:row>
    <x:row r="63">
      <x:c r="B63" s="140"/>
      <x:c r="C63" s="140"/>
      <x:c r="D63" s="140"/>
      <x:c r="E63" s="140"/>
      <x:c r="F63" s="140"/>
      <x:c r="G63" s="140"/>
      <x:c r="H63" s="140"/>
      <x:c r="I63" s="140"/>
    </x:row>
    <x:row r="64">
      <x:c r="B64" s="292" t="str">
        <x:v>6. VALIDATION / REVIEW</x:v>
      </x:c>
      <x:c r="C64" s="292"/>
      <x:c r="D64" s="292"/>
      <x:c r="E64" s="292"/>
      <x:c r="F64" s="292"/>
      <x:c r="G64" s="292"/>
      <x:c r="H64" s="292"/>
      <x:c r="I64" s="140"/>
    </x:row>
    <x:row r="65">
      <x:c r="B65" s="303" t="str">
        <x:v>Check</x:v>
      </x:c>
      <x:c r="C65" s="303" t="str">
        <x:v>Primary</x:v>
      </x:c>
      <x:c r="D65" s="303" t="str">
        <x:v>Independent</x:v>
      </x:c>
      <x:c r="E65" s="303" t="str">
        <x:v>Tolerance</x:v>
      </x:c>
      <x:c r="F65" s="303" t="str">
        <x:v>Difference</x:v>
      </x:c>
      <x:c r="G65" s="303" t="str">
        <x:v>Status</x:v>
      </x:c>
      <x:c r="H65" s="303" t="str">
        <x:v>Reference</x:v>
      </x:c>
      <x:c r="I65" s="140"/>
    </x:row>
    <x:row r="66">
      <x:c r="B66" s="140" t="str">
        <x:v>Governing Cs</x:v>
      </x:c>
      <x:c r="C66" s="140" t="str">
        <x:f>IF(D40="","",D40)</x:f>
      </x:c>
      <x:c r="D66" s="140" t="str">
        <x:f>IF(G40="","",G40)</x:f>
      </x:c>
      <x:c r="E66" s="140" t="n">
        <x:v>0.000001</x:v>
      </x:c>
      <x:c r="F66" s="140" t="str">
        <x:f>IF(OR(C66="",D66=""),"",ABS(C66-D66))</x:f>
      </x:c>
      <x:c r="G66" s="140" t="str">
        <x:f>IF(F66="","PENDING",IF(F66&lt;=E66,"PASS","CHECK"))</x:f>
        <x:v>PENDING</x:v>
      </x:c>
      <x:c r="H66" s="140" t="str">
        <x:v>Separate algebra path</x:v>
      </x:c>
      <x:c r="I66" s="140"/>
    </x:row>
    <x:row r="67">
      <x:c r="B67" s="140" t="str">
        <x:v>Base shear V</x:v>
      </x:c>
      <x:c r="C67" s="140" t="str">
        <x:f>IF(D46="","",D46)</x:f>
      </x:c>
      <x:c r="D67" s="140" t="str">
        <x:f>IF(G46="","",G46)</x:f>
      </x:c>
      <x:c r="E67" s="140" t="n">
        <x:v>0.001</x:v>
      </x:c>
      <x:c r="F67" s="140" t="str">
        <x:f>IF(OR(C67="",D67=""),"",ABS(C67-D67))</x:f>
      </x:c>
      <x:c r="G67" s="140" t="str">
        <x:f>IF(F67="","PENDING",IF(F67&lt;=E67,"PASS","CHECK"))</x:f>
        <x:v>PENDING</x:v>
      </x:c>
      <x:c r="H67" s="140" t="str">
        <x:v>Separate algebra path</x:v>
      </x:c>
      <x:c r="I67" s="140"/>
    </x:row>
    <x:row r="68">
      <x:c r="B68" s="140" t="str">
        <x:v>Module overall</x:v>
      </x:c>
      <x:c r="C68" s="140" t="str">
        <x:f>IF(C6="X",'18_SEISMIC'!G80,IF(C6="Y",'18_SEISMIC'!G80,""))</x:f>
        <x:v>PENDING</x:v>
      </x:c>
      <x:c r="D68" s="140"/>
      <x:c r="E68" s="140"/>
      <x:c r="F68" s="140"/>
      <x:c r="G68" s="140" t="str">
        <x:f>IF(AND(G66="PASS",G67="PASS",C68="PASS"),"PASS",IF(OR(G66="CHECK",G67="CHECK",C68="CHECK"),"CHECK","PENDING"))</x:f>
        <x:v>PENDING</x:v>
      </x:c>
      <x:c r="H68" s="140" t="str">
        <x:v>18_SEISMIC + locked QA benchmarks</x:v>
      </x:c>
      <x:c r="I68" s="140"/>
    </x:row>
    <x:row r="69">
      <x:c r="B69" s="140"/>
      <x:c r="C69" s="140"/>
      <x:c r="D69" s="140"/>
      <x:c r="E69" s="140"/>
      <x:c r="F69" s="140"/>
      <x:c r="G69" s="140"/>
      <x:c r="H69" s="140"/>
      <x:c r="I69" s="140"/>
    </x:row>
    <x:row r="70">
      <x:c r="B70" s="140"/>
      <x:c r="C70" s="140"/>
      <x:c r="D70" s="140"/>
      <x:c r="E70" s="140"/>
      <x:c r="F70" s="140"/>
      <x:c r="G70" s="140"/>
      <x:c r="H70" s="140"/>
      <x:c r="I70" s="140"/>
    </x:row>
    <x:row r="71">
      <x:c r="B71" s="140"/>
      <x:c r="C71" s="140"/>
      <x:c r="D71" s="140"/>
      <x:c r="E71" s="140"/>
      <x:c r="F71" s="140"/>
      <x:c r="G71" s="140"/>
      <x:c r="H71" s="140"/>
      <x:c r="I71" s="140"/>
    </x:row>
    <x:row r="72">
      <x:c r="B72" s="140"/>
      <x:c r="C72" s="140"/>
      <x:c r="D72" s="140"/>
      <x:c r="E72" s="140"/>
      <x:c r="F72" s="140"/>
      <x:c r="G72" s="140"/>
      <x:c r="H72" s="140"/>
      <x:c r="I72" s="140"/>
    </x:row>
    <x:row r="73">
      <x:c r="B73" s="140"/>
      <x:c r="C73" s="140"/>
      <x:c r="D73" s="140"/>
      <x:c r="E73" s="140"/>
      <x:c r="F73" s="140"/>
      <x:c r="G73" s="140"/>
      <x:c r="H73" s="140"/>
      <x:c r="I73" s="140"/>
    </x:row>
    <x:row r="74">
      <x:c r="B74" s="140"/>
      <x:c r="C74" s="140"/>
      <x:c r="D74" s="140"/>
      <x:c r="E74" s="140"/>
      <x:c r="F74" s="140"/>
      <x:c r="G74" s="140"/>
      <x:c r="H74" s="140"/>
      <x:c r="I74" s="140"/>
    </x:row>
    <x:row r="75">
      <x:c r="B75" s="140"/>
      <x:c r="C75" s="140"/>
      <x:c r="D75" s="140"/>
      <x:c r="E75" s="140"/>
      <x:c r="F75" s="140"/>
      <x:c r="G75" s="140"/>
      <x:c r="H75" s="140"/>
      <x:c r="I75" s="140"/>
    </x:row>
  </x:sheetData>
  <x:mergeCells>
    <x:mergeCell ref="B2:H2"/>
    <x:mergeCell ref="B4:H4"/>
    <x:mergeCell ref="B8:H8"/>
    <x:mergeCell ref="B20:H20"/>
    <x:mergeCell ref="B34:H34"/>
    <x:mergeCell ref="B43:H43"/>
    <x:mergeCell ref="B52:I52"/>
    <x:mergeCell ref="B64:H64"/>
  </x:mergeCells>
  <x:conditionalFormatting sqref="G66:G68">
    <x:cfRule type="expression" dxfId="46" priority="1">
      <x:formula>G66="PASS"</x:formula>
    </x:cfRule>
    <x:cfRule type="expression" dxfId="47" priority="2">
      <x:formula>G66="CHECK"</x:formula>
    </x:cfRule>
  </x:conditionalFormatting>
  <x:dataValidations count="1">
    <x:dataValidation type="list" sqref="C6">
      <x:formula1>"X,Y"</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2" max="2" width="31" hidden="0" customWidth="1"/>
    <x:col min="3" max="3" width="12" hidden="0" customWidth="1"/>
    <x:col min="4" max="4" width="12" hidden="0" customWidth="1"/>
    <x:col min="5" max="5" width="22" hidden="0" customWidth="1"/>
    <x:col min="6" max="6" width="14" hidden="0" customWidth="1"/>
    <x:col min="7" max="7" width="14" hidden="0" customWidth="1"/>
    <x:col min="8" max="8" width="14" hidden="0" customWidth="1"/>
    <x:col min="9" max="9" width="24" hidden="0" customWidth="1"/>
    <x:col min="10" max="10" width="4" hidden="0" customWidth="1"/>
    <x:col min="13" max="13" width="18" hidden="0" customWidth="1"/>
    <x:col min="14" max="14" width="30" hidden="0" customWidth="1"/>
    <x:col min="15" max="15" width="16" hidden="0" customWidth="1"/>
    <x:col min="16" max="16" width="16" hidden="0" customWidth="1"/>
    <x:col min="17" max="17" width="14"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x:c r="B2" s="352" t="str">
        <x:v>WOOD BEAM / HEADER DESIGN ENGINE — NDS 2024 (ASD)</x:v>
      </x:c>
      <x:c r="C2" s="352"/>
      <x:c r="D2" s="352"/>
      <x:c r="E2" s="352"/>
      <x:c r="F2" s="352"/>
      <x:c r="G2" s="352"/>
      <x:c r="H2" s="352"/>
      <x:c r="I2" s="352"/>
      <x:c r="J2" s="352"/>
      <x:c r="K2" s="140"/>
      <x:c r="L2" s="140"/>
      <x:c r="M2" s="353" t="str">
        <x:v>LOCKED MATH QA BENCHMARKS</x:v>
      </x:c>
      <x:c r="N2" s="353"/>
      <x:c r="O2" s="353"/>
      <x:c r="P2" s="353"/>
      <x:c r="Q2" s="353"/>
      <x:c r="R2" s="353"/>
    </x:row>
    <x:row r="3">
      <x:c r="B3" s="140"/>
      <x:c r="C3" s="140"/>
      <x:c r="D3" s="140"/>
      <x:c r="E3" s="140"/>
      <x:c r="F3" s="140"/>
      <x:c r="G3" s="140"/>
      <x:c r="H3" s="140"/>
      <x:c r="I3" s="140"/>
      <x:c r="J3" s="140"/>
      <x:c r="K3" s="140"/>
      <x:c r="L3" s="140"/>
      <x:c r="M3" s="354" t="str">
        <x:v>Test</x:v>
      </x:c>
      <x:c r="N3" s="354" t="str">
        <x:v>Inputs</x:v>
      </x:c>
      <x:c r="O3" s="354" t="str">
        <x:v>Expected</x:v>
      </x:c>
      <x:c r="P3" s="354" t="str">
        <x:v>Workbook</x:v>
      </x:c>
      <x:c r="Q3" s="354" t="str">
        <x:v>Abs Diff</x:v>
      </x:c>
      <x:c r="R3" s="354" t="str">
        <x:v>Status</x:v>
      </x:c>
    </x:row>
    <x:row r="4" ht="58" customHeight="1">
      <x:c r="B4" s="347" t="str">
        <x:v>Scope: simply supported rectangular sawn-lumber member under uniform gravity loading. Reference design values and NDS adjustment factors are controlled sourced inputs. The current shear check uses the unreduced maximum support shear for a conservative rectangular-section stress check; notches, holes, concentrated loads, lateral stability assumptions, and 2024 NDS special shear provisions remain explicit review items.</x:v>
      </x:c>
      <x:c r="C4" s="347"/>
      <x:c r="D4" s="347"/>
      <x:c r="E4" s="347"/>
      <x:c r="F4" s="347"/>
      <x:c r="G4" s="347"/>
      <x:c r="H4" s="347"/>
      <x:c r="I4" s="347"/>
      <x:c r="J4" s="347"/>
      <x:c r="K4" s="140"/>
      <x:c r="L4" s="140"/>
      <x:c r="M4" s="140" t="str">
        <x:v>NDS-QA-01 S</x:v>
      </x:c>
      <x:c r="N4" s="140" t="str">
        <x:v>b=5.5, d=11.25</x:v>
      </x:c>
      <x:c r="O4" s="355" t="n">
        <x:v>116.015625</x:v>
      </x:c>
      <x:c r="P4" s="355" t="n">
        <x:f>5.5*11.25^2/6</x:f>
        <x:v>116.015625</x:v>
      </x:c>
      <x:c r="Q4" s="355" t="n">
        <x:f>ABS(O4-P4)</x:f>
        <x:v>0</x:v>
      </x:c>
      <x:c r="R4" s="140" t="str">
        <x:f>IF(Q4&lt;=0.0001,"PASS","REVIEW")</x:f>
        <x:v>PASS</x:v>
      </x:c>
    </x:row>
    <x:row r="5">
      <x:c r="B5" s="140"/>
      <x:c r="C5" s="140"/>
      <x:c r="D5" s="140"/>
      <x:c r="E5" s="140"/>
      <x:c r="F5" s="140"/>
      <x:c r="G5" s="140"/>
      <x:c r="H5" s="140"/>
      <x:c r="I5" s="140"/>
      <x:c r="J5" s="140"/>
      <x:c r="K5" s="140"/>
      <x:c r="L5" s="140"/>
      <x:c r="M5" s="140" t="str">
        <x:v>NDS-QA-02 M</x:v>
      </x:c>
      <x:c r="N5" s="140" t="str">
        <x:v>w=450 plf, L=12 ft</x:v>
      </x:c>
      <x:c r="O5" s="355" t="n">
        <x:v>8100</x:v>
      </x:c>
      <x:c r="P5" s="355" t="n">
        <x:f>450*12^2/8</x:f>
        <x:v>8100</x:v>
      </x:c>
      <x:c r="Q5" s="355" t="n">
        <x:f>ABS(O5-P5)</x:f>
        <x:v>0</x:v>
      </x:c>
      <x:c r="R5" s="140" t="str">
        <x:f>IF(Q5&lt;=0.001,"PASS","REVIEW")</x:f>
        <x:v>PASS</x:v>
      </x:c>
    </x:row>
    <x:row r="6">
      <x:c r="B6" s="353" t="str">
        <x:v>MEMBER / MATERIAL BASIS</x:v>
      </x:c>
      <x:c r="C6" s="353"/>
      <x:c r="D6" s="353"/>
      <x:c r="E6" s="353"/>
      <x:c r="F6" s="353"/>
      <x:c r="G6" s="140"/>
      <x:c r="H6" s="353" t="str">
        <x:v>MODULE STATUS</x:v>
      </x:c>
      <x:c r="I6" s="353"/>
      <x:c r="J6" s="353"/>
      <x:c r="K6" s="140"/>
      <x:c r="L6" s="140"/>
      <x:c r="M6" s="140" t="str">
        <x:v>NDS-QA-03 fb</x:v>
      </x:c>
      <x:c r="N6" s="140" t="str">
        <x:v>M, S above</x:v>
      </x:c>
      <x:c r="O6" s="355" t="n">
        <x:v>837.8181818181819</x:v>
      </x:c>
      <x:c r="P6" s="355" t="n">
        <x:f>(450*12^2/8)*12/(5.5*11.25^2/6)</x:f>
        <x:v>837.8181818181819</x:v>
      </x:c>
      <x:c r="Q6" s="355" t="n">
        <x:f>ABS(O6-P6)</x:f>
        <x:v>0</x:v>
      </x:c>
      <x:c r="R6" s="140" t="str">
        <x:f>IF(Q6&lt;=0.0001,"PASS","REVIEW")</x:f>
        <x:v>PASS</x:v>
      </x:c>
    </x:row>
    <x:row r="7">
      <x:c r="B7" s="354" t="str">
        <x:v>Parameter</x:v>
      </x:c>
      <x:c r="C7" s="354" t="str">
        <x:v>Value</x:v>
      </x:c>
      <x:c r="D7" s="354" t="str">
        <x:v>Unit</x:v>
      </x:c>
      <x:c r="E7" s="354" t="str">
        <x:v>Source / Basis</x:v>
      </x:c>
      <x:c r="F7" s="354" t="str">
        <x:v>Status</x:v>
      </x:c>
      <x:c r="G7" s="140"/>
      <x:c r="H7" s="140" t="str">
        <x:v>Input Completeness</x:v>
      </x:c>
      <x:c r="I7" s="140" t="str">
        <x:f>IF(COUNTIF(F8:F24,"MISSING")&gt;0,"PENDING","READY")</x:f>
        <x:v>PENDING</x:v>
      </x:c>
      <x:c r="J7" s="140"/>
      <x:c r="K7" s="140"/>
      <x:c r="L7" s="140"/>
      <x:c r="M7" s="140" t="str">
        <x:v>NDS-QA-04 fv</x:v>
      </x:c>
      <x:c r="N7" s="140" t="str">
        <x:v>V=2700 lb; rectangular section</x:v>
      </x:c>
      <x:c r="O7" s="355" t="n">
        <x:v>65.45454545454545</x:v>
      </x:c>
      <x:c r="P7" s="355" t="n">
        <x:f>1.5*(450*12/2)/(5.5*11.25)</x:f>
        <x:v>65.45454545454545</x:v>
      </x:c>
      <x:c r="Q7" s="355" t="n">
        <x:f>ABS(O7-P7)</x:f>
        <x:v>0</x:v>
      </x:c>
      <x:c r="R7" s="140" t="str">
        <x:f>IF(Q7&lt;=0.0001,"PASS","REVIEW")</x:f>
        <x:v>PASS</x:v>
      </x:c>
    </x:row>
    <x:row r="8">
      <x:c r="B8" s="140" t="str">
        <x:v>Member Mark</x:v>
      </x:c>
      <x:c r="C8" s="140" t="str">
        <x:f>IF('01_INPUTS'!C119="","",'01_INPUTS'!C119)</x:f>
      </x:c>
      <x:c r="D8" s="140"/>
      <x:c r="E8" s="140" t="str">
        <x:v>01_INPUTS</x:v>
      </x:c>
      <x:c r="F8" s="140" t="str">
        <x:f>IF(C8="","MISSING","READY")</x:f>
        <x:v>MISSING</x:v>
      </x:c>
      <x:c r="G8" s="140"/>
      <x:c r="H8" s="140" t="str">
        <x:v>Factor Completeness</x:v>
      </x:c>
      <x:c r="I8" s="140" t="str">
        <x:f>IF(COUNTIF(H44:H47,"PENDING")&gt;0,"PENDING","READY")</x:f>
        <x:v>PENDING</x:v>
      </x:c>
      <x:c r="J8" s="140"/>
      <x:c r="K8" s="140"/>
      <x:c r="L8" s="140"/>
      <x:c r="M8" s="140" t="str">
        <x:v>NDS-QA-05 Δ</x:v>
      </x:c>
      <x:c r="N8" s="140" t="str">
        <x:v>w=450, L=12, E=1.6E6</x:v>
      </x:c>
      <x:c r="O8" s="355" t="n">
        <x:v>0.20107636363636364</x:v>
      </x:c>
      <x:c r="P8" s="355" t="n">
        <x:f>5*(450/12)*(12*12)^4/(384*1600000*(5.5*11.25^3/12))</x:f>
        <x:v>0.20107636363636364</x:v>
      </x:c>
      <x:c r="Q8" s="355" t="n">
        <x:f>ABS(O8-P8)</x:f>
        <x:v>0</x:v>
      </x:c>
      <x:c r="R8" s="140" t="str">
        <x:f>IF(Q8&lt;=0.0001,"PASS","REVIEW")</x:f>
        <x:v>PASS</x:v>
      </x:c>
    </x:row>
    <x:row r="9">
      <x:c r="B9" s="140" t="str">
        <x:v>Member Use</x:v>
      </x:c>
      <x:c r="C9" s="140" t="str">
        <x:f>IF('01_INPUTS'!C120="","",'01_INPUTS'!C120)</x:f>
      </x:c>
      <x:c r="D9" s="140"/>
      <x:c r="E9" s="140" t="str">
        <x:v>01_INPUTS</x:v>
      </x:c>
      <x:c r="F9" s="140" t="str">
        <x:f>IF(C9="","MISSING","READY")</x:f>
        <x:v>MISSING</x:v>
      </x:c>
      <x:c r="G9" s="140"/>
      <x:c r="H9" s="140" t="str">
        <x:v>Math Cross-Checks</x:v>
      </x:c>
      <x:c r="I9" s="140" t="str">
        <x:f>IF(COUNTIF(G28:G40,"REVIEW")&gt;0,"REVIEW",IF(COUNTIF(G28:G40,"PASS")&gt;0,"PASS","PENDING"))</x:f>
        <x:v>PENDING</x:v>
      </x:c>
      <x:c r="J9" s="140"/>
      <x:c r="K9" s="140"/>
      <x:c r="L9" s="140"/>
      <x:c r="M9" s="140" t="str">
        <x:v>NDS-QA-06 Fb′</x:v>
      </x:c>
      <x:c r="N9" s="140" t="str">
        <x:v>Fb=1000; CD=1.15; CF=1.1; Cr=1.15</x:v>
      </x:c>
      <x:c r="O9" s="355" t="n">
        <x:v>1454.75</x:v>
      </x:c>
      <x:c r="P9" s="355" t="n">
        <x:f>1000*1.15*1*1*1.1*1*1.15*1</x:f>
        <x:v>1454.75</x:v>
      </x:c>
      <x:c r="Q9" s="355" t="n">
        <x:f>ABS(O9-P9)</x:f>
        <x:v>0</x:v>
      </x:c>
      <x:c r="R9" s="140" t="str">
        <x:f>IF(Q9&lt;=0.0001,"PASS","REVIEW")</x:f>
        <x:v>PASS</x:v>
      </x:c>
    </x:row>
    <x:row r="10">
      <x:c r="B10" s="140" t="str">
        <x:v>Load Basis</x:v>
      </x:c>
      <x:c r="C10" s="140" t="str">
        <x:f>IF('01_INPUTS'!C121="","",'01_INPUTS'!C121)</x:f>
      </x:c>
      <x:c r="D10" s="140"/>
      <x:c r="E10" s="140" t="str">
        <x:v>01_INPUTS</x:v>
      </x:c>
      <x:c r="F10" s="140" t="str">
        <x:f>IF(C10="","MISSING","READY")</x:f>
        <x:v>MISSING</x:v>
      </x:c>
      <x:c r="G10" s="140"/>
      <x:c r="H10" s="140" t="str">
        <x:v>Strength / Serviceability</x:v>
      </x:c>
      <x:c r="I10" s="140" t="str">
        <x:f>IF(COUNTIF(H51:H57,"FAIL")&gt;0,"FAIL",IF(COUNTIF(H51:H57,"PENDING")&gt;0,"PENDING","PASS"))</x:f>
        <x:v>PENDING</x:v>
      </x:c>
      <x:c r="J10" s="140"/>
      <x:c r="K10" s="140"/>
      <x:c r="L10" s="140"/>
      <x:c r="M10" s="140"/>
      <x:c r="N10" s="140"/>
      <x:c r="O10" s="140"/>
      <x:c r="P10" s="140"/>
      <x:c r="Q10" s="140"/>
      <x:c r="R10" s="140"/>
    </x:row>
    <x:row r="11">
      <x:c r="B11" s="140" t="str">
        <x:v>Species / Species Group</x:v>
      </x:c>
      <x:c r="C11" s="140" t="str">
        <x:f>IF('01_INPUTS'!C58="","",'01_INPUTS'!C58)</x:f>
      </x:c>
      <x:c r="D11" s="140"/>
      <x:c r="E11" s="140" t="str">
        <x:v>NDS Supplement / source record</x:v>
      </x:c>
      <x:c r="F11" s="140" t="str">
        <x:f>IF(C11="","MISSING","READY")</x:f>
        <x:v>MISSING</x:v>
      </x:c>
      <x:c r="G11" s="140"/>
      <x:c r="H11" s="140" t="str">
        <x:v>Special Review Gates</x:v>
      </x:c>
      <x:c r="I11" s="140" t="str">
        <x:v>REVIEW</x:v>
      </x:c>
      <x:c r="J11" s="140"/>
      <x:c r="K11" s="140"/>
      <x:c r="L11" s="140"/>
      <x:c r="M11" s="140" t="str">
        <x:v>Benchmark Overall</x:v>
      </x:c>
      <x:c r="N11" s="140"/>
      <x:c r="O11" s="140"/>
      <x:c r="P11" s="140"/>
      <x:c r="Q11" s="140"/>
      <x:c r="R11" s="140" t="str">
        <x:f>IF(COUNTIF(R4:R9,"REVIEW")&gt;0,"REVIEW","PASS")</x:f>
        <x:v>PASS</x:v>
      </x:c>
    </x:row>
    <x:row r="12">
      <x:c r="B12" s="140" t="str">
        <x:v>Grade</x:v>
      </x:c>
      <x:c r="C12" s="140" t="str">
        <x:f>IF('01_INPUTS'!C59="","",'01_INPUTS'!C59)</x:f>
      </x:c>
      <x:c r="D12" s="140"/>
      <x:c r="E12" s="140" t="str">
        <x:v>NDS Supplement / source record</x:v>
      </x:c>
      <x:c r="F12" s="140" t="str">
        <x:f>IF(C12="","MISSING","READY")</x:f>
        <x:v>MISSING</x:v>
      </x:c>
      <x:c r="G12" s="140"/>
      <x:c r="H12" s="140" t="str">
        <x:v>Overall</x:v>
      </x:c>
      <x:c r="I12" s="140" t="str">
        <x:f>IF(OR(I7="PENDING",I8="PENDING",I9="PENDING",I10="PENDING"),"PENDING",IF(OR(I9="REVIEW",I10="FAIL",I11="REVIEW"),"REVIEW","PASS"))</x:f>
        <x:v>PENDING</x:v>
      </x:c>
      <x:c r="J12" s="140"/>
      <x:c r="K12" s="140"/>
      <x:c r="L12" s="140"/>
      <x:c r="M12" s="140"/>
      <x:c r="N12" s="140"/>
      <x:c r="O12" s="140"/>
      <x:c r="P12" s="140"/>
      <x:c r="Q12" s="140"/>
      <x:c r="R12" s="140"/>
    </x:row>
    <x:row r="13">
      <x:c r="B13" s="140" t="str">
        <x:v>Span L</x:v>
      </x:c>
      <x:c r="C13" s="140" t="str">
        <x:f>IF('01_INPUTS'!C30="","",'01_INPUTS'!C30)</x:f>
      </x:c>
      <x:c r="D13" s="140" t="str">
        <x:v>ft</x:v>
      </x:c>
      <x:c r="E13" s="140" t="str">
        <x:v>01_INPUTS</x:v>
      </x:c>
      <x:c r="F13" s="140" t="str">
        <x:f>IF(C13="","MISSING","READY")</x:f>
        <x:v>MISSING</x:v>
      </x:c>
      <x:c r="G13" s="140"/>
      <x:c r="H13" s="140"/>
      <x:c r="I13" s="140"/>
      <x:c r="J13" s="140"/>
      <x:c r="K13" s="140"/>
      <x:c r="L13" s="140"/>
      <x:c r="M13" s="361" t="str">
        <x:v>QA note: locked benchmarks independently validate arithmetic implementation only. They do not replace project-specific NDS applicability review or licensed professional engineering judgment.</x:v>
      </x:c>
      <x:c r="N13" s="361"/>
      <x:c r="O13" s="361"/>
      <x:c r="P13" s="361"/>
      <x:c r="Q13" s="361"/>
      <x:c r="R13" s="361"/>
    </x:row>
    <x:row r="14">
      <x:c r="B14" s="140" t="str">
        <x:v>Tributary Width</x:v>
      </x:c>
      <x:c r="C14" s="140" t="str">
        <x:f>IF('01_INPUTS'!C31="","",'01_INPUTS'!C31)</x:f>
      </x:c>
      <x:c r="D14" s="140" t="str">
        <x:v>ft</x:v>
      </x:c>
      <x:c r="E14" s="140" t="str">
        <x:v>01_INPUTS</x:v>
      </x:c>
      <x:c r="F14" s="140" t="str">
        <x:f>IF(C14="","MISSING","READY")</x:f>
        <x:v>MISSING</x:v>
      </x:c>
      <x:c r="G14" s="140"/>
      <x:c r="H14" s="140"/>
      <x:c r="I14" s="140"/>
      <x:c r="J14" s="140"/>
      <x:c r="K14" s="140"/>
      <x:c r="L14" s="140"/>
      <x:c r="M14" s="361"/>
      <x:c r="N14" s="361"/>
      <x:c r="O14" s="361"/>
      <x:c r="P14" s="361"/>
      <x:c r="Q14" s="361"/>
      <x:c r="R14" s="361"/>
    </x:row>
    <x:row r="15">
      <x:c r="B15" s="140" t="str">
        <x:v>Actual Width b</x:v>
      </x:c>
      <x:c r="C15" s="140" t="str">
        <x:f>IF('01_INPUTS'!C32="","",'01_INPUTS'!C32)</x:f>
      </x:c>
      <x:c r="D15" s="140" t="str">
        <x:v>in</x:v>
      </x:c>
      <x:c r="E15" s="140" t="str">
        <x:v>01_INPUTS</x:v>
      </x:c>
      <x:c r="F15" s="140" t="str">
        <x:f>IF(C15="","MISSING","READY")</x:f>
        <x:v>MISSING</x:v>
      </x:c>
      <x:c r="G15" s="140"/>
      <x:c r="H15" s="140"/>
      <x:c r="I15" s="140"/>
      <x:c r="J15" s="140"/>
      <x:c r="K15" s="140"/>
      <x:c r="L15" s="140"/>
      <x:c r="M15" s="140"/>
      <x:c r="N15" s="140"/>
      <x:c r="O15" s="140"/>
      <x:c r="P15" s="140"/>
      <x:c r="Q15" s="140"/>
      <x:c r="R15" s="140"/>
    </x:row>
    <x:row r="16">
      <x:c r="B16" s="140" t="str">
        <x:v>Actual Depth d</x:v>
      </x:c>
      <x:c r="C16" s="140" t="str">
        <x:f>IF('01_INPUTS'!C33="","",'01_INPUTS'!C33)</x:f>
      </x:c>
      <x:c r="D16" s="140" t="str">
        <x:v>in</x:v>
      </x:c>
      <x:c r="E16" s="140" t="str">
        <x:v>01_INPUTS</x:v>
      </x:c>
      <x:c r="F16" s="140" t="str">
        <x:f>IF(C16="","MISSING","READY")</x:f>
        <x:v>MISSING</x:v>
      </x:c>
      <x:c r="G16" s="140"/>
      <x:c r="H16" s="140"/>
      <x:c r="I16" s="140"/>
      <x:c r="J16" s="140"/>
      <x:c r="K16" s="140"/>
      <x:c r="L16" s="140"/>
      <x:c r="M16" s="140"/>
      <x:c r="N16" s="140"/>
      <x:c r="O16" s="140"/>
      <x:c r="P16" s="140"/>
      <x:c r="Q16" s="140"/>
      <x:c r="R16" s="140"/>
    </x:row>
    <x:row r="17">
      <x:c r="B17" s="140" t="str">
        <x:v>Bearing — Left</x:v>
      </x:c>
      <x:c r="C17" s="140" t="str">
        <x:f>IF('01_INPUTS'!C122="","",'01_INPUTS'!C122)</x:f>
      </x:c>
      <x:c r="D17" s="140" t="str">
        <x:v>in</x:v>
      </x:c>
      <x:c r="E17" s="140" t="str">
        <x:v>01_INPUTS</x:v>
      </x:c>
      <x:c r="F17" s="140" t="str">
        <x:f>IF(C17="","MISSING","READY")</x:f>
        <x:v>MISSING</x:v>
      </x:c>
      <x:c r="G17" s="140"/>
      <x:c r="H17" s="140"/>
      <x:c r="I17" s="140"/>
      <x:c r="J17" s="140"/>
      <x:c r="K17" s="140"/>
      <x:c r="L17" s="140"/>
      <x:c r="M17" s="140"/>
      <x:c r="N17" s="140"/>
      <x:c r="O17" s="140"/>
      <x:c r="P17" s="140"/>
      <x:c r="Q17" s="140"/>
      <x:c r="R17" s="140"/>
    </x:row>
    <x:row r="18">
      <x:c r="B18" s="140" t="str">
        <x:v>Bearing — Right</x:v>
      </x:c>
      <x:c r="C18" s="140" t="str">
        <x:f>IF('01_INPUTS'!C123="","",'01_INPUTS'!C123)</x:f>
      </x:c>
      <x:c r="D18" s="140" t="str">
        <x:v>in</x:v>
      </x:c>
      <x:c r="E18" s="140" t="str">
        <x:v>01_INPUTS</x:v>
      </x:c>
      <x:c r="F18" s="140" t="str">
        <x:f>IF(C18="","MISSING","READY")</x:f>
        <x:v>MISSING</x:v>
      </x:c>
      <x:c r="G18" s="140"/>
      <x:c r="H18" s="140"/>
      <x:c r="I18" s="140"/>
      <x:c r="J18" s="140"/>
      <x:c r="K18" s="140"/>
      <x:c r="L18" s="140"/>
      <x:c r="M18" s="140"/>
      <x:c r="N18" s="140"/>
      <x:c r="O18" s="140"/>
      <x:c r="P18" s="140"/>
      <x:c r="Q18" s="140"/>
      <x:c r="R18" s="140"/>
    </x:row>
    <x:row r="19">
      <x:c r="B19" s="140" t="str">
        <x:v>Fb</x:v>
      </x:c>
      <x:c r="C19" s="140" t="str">
        <x:f>IF('01_INPUTS'!C61="","",'01_INPUTS'!C61)</x:f>
      </x:c>
      <x:c r="D19" s="140" t="str">
        <x:v>psi</x:v>
      </x:c>
      <x:c r="E19" s="140" t="str">
        <x:v>2024 NDS Supplement / manufacturer</x:v>
      </x:c>
      <x:c r="F19" s="140" t="str">
        <x:f>IF(C19="","MISSING","READY")</x:f>
        <x:v>MISSING</x:v>
      </x:c>
      <x:c r="G19" s="140"/>
      <x:c r="H19" s="140"/>
      <x:c r="I19" s="140"/>
      <x:c r="J19" s="140"/>
      <x:c r="K19" s="140"/>
      <x:c r="L19" s="140"/>
      <x:c r="M19" s="140"/>
      <x:c r="N19" s="140"/>
      <x:c r="O19" s="140"/>
      <x:c r="P19" s="140"/>
      <x:c r="Q19" s="140"/>
      <x:c r="R19" s="140"/>
    </x:row>
    <x:row r="20">
      <x:c r="B20" s="140" t="str">
        <x:v>Fv</x:v>
      </x:c>
      <x:c r="C20" s="140" t="str">
        <x:f>IF('01_INPUTS'!C62="","",'01_INPUTS'!C62)</x:f>
      </x:c>
      <x:c r="D20" s="140" t="str">
        <x:v>psi</x:v>
      </x:c>
      <x:c r="E20" s="140" t="str">
        <x:v>2024 NDS Supplement / manufacturer</x:v>
      </x:c>
      <x:c r="F20" s="140" t="str">
        <x:f>IF(C20="","MISSING","READY")</x:f>
        <x:v>MISSING</x:v>
      </x:c>
      <x:c r="G20" s="140"/>
      <x:c r="H20" s="140"/>
      <x:c r="I20" s="140"/>
      <x:c r="J20" s="140"/>
      <x:c r="K20" s="140"/>
      <x:c r="L20" s="140"/>
      <x:c r="M20" s="140"/>
      <x:c r="N20" s="140"/>
      <x:c r="O20" s="140"/>
      <x:c r="P20" s="140"/>
      <x:c r="Q20" s="140"/>
      <x:c r="R20" s="140"/>
    </x:row>
    <x:row r="21">
      <x:c r="B21" s="140" t="str">
        <x:v>Fc⊥</x:v>
      </x:c>
      <x:c r="C21" s="140" t="str">
        <x:f>IF('01_INPUTS'!C63="","",'01_INPUTS'!C63)</x:f>
      </x:c>
      <x:c r="D21" s="140" t="str">
        <x:v>psi</x:v>
      </x:c>
      <x:c r="E21" s="140" t="str">
        <x:v>2024 NDS Supplement / manufacturer</x:v>
      </x:c>
      <x:c r="F21" s="140" t="str">
        <x:f>IF(C21="","MISSING","READY")</x:f>
        <x:v>MISSING</x:v>
      </x:c>
      <x:c r="G21" s="140"/>
      <x:c r="H21" s="140"/>
      <x:c r="I21" s="140"/>
      <x:c r="J21" s="140"/>
      <x:c r="K21" s="140"/>
      <x:c r="L21" s="140"/>
      <x:c r="M21" s="140"/>
      <x:c r="N21" s="140"/>
      <x:c r="O21" s="140"/>
      <x:c r="P21" s="140"/>
      <x:c r="Q21" s="140"/>
      <x:c r="R21" s="140"/>
    </x:row>
    <x:row r="22">
      <x:c r="B22" s="140" t="str">
        <x:v>E</x:v>
      </x:c>
      <x:c r="C22" s="140" t="str">
        <x:f>IF('01_INPUTS'!C60="","",'01_INPUTS'!C60)</x:f>
      </x:c>
      <x:c r="D22" s="140" t="str">
        <x:v>psi</x:v>
      </x:c>
      <x:c r="E22" s="140" t="str">
        <x:v>2024 NDS Supplement / manufacturer</x:v>
      </x:c>
      <x:c r="F22" s="140" t="str">
        <x:f>IF(C22="","MISSING","READY")</x:f>
        <x:v>MISSING</x:v>
      </x:c>
      <x:c r="G22" s="140"/>
      <x:c r="H22" s="140"/>
      <x:c r="I22" s="140"/>
      <x:c r="J22" s="140"/>
      <x:c r="K22" s="140"/>
      <x:c r="L22" s="140"/>
      <x:c r="M22" s="140"/>
      <x:c r="N22" s="140"/>
      <x:c r="O22" s="140"/>
      <x:c r="P22" s="140"/>
      <x:c r="Q22" s="140"/>
      <x:c r="R22" s="140"/>
    </x:row>
    <x:row r="23">
      <x:c r="B23" s="140" t="str">
        <x:v>Live Deflection Limit</x:v>
      </x:c>
      <x:c r="C23" s="140" t="str">
        <x:f>IF('01_INPUTS'!C124="","",'01_INPUTS'!C124)</x:f>
      </x:c>
      <x:c r="D23" s="140" t="str">
        <x:v>L/x</x:v>
      </x:c>
      <x:c r="E23" s="140" t="str">
        <x:v>CBC / project criteria</x:v>
      </x:c>
      <x:c r="F23" s="140" t="str">
        <x:f>IF(C23="","MISSING","READY")</x:f>
        <x:v>MISSING</x:v>
      </x:c>
      <x:c r="G23" s="140"/>
      <x:c r="H23" s="140"/>
      <x:c r="I23" s="140"/>
      <x:c r="J23" s="140"/>
      <x:c r="K23" s="140"/>
      <x:c r="L23" s="140"/>
      <x:c r="M23" s="140"/>
      <x:c r="N23" s="140"/>
      <x:c r="O23" s="140"/>
      <x:c r="P23" s="140"/>
      <x:c r="Q23" s="140"/>
      <x:c r="R23" s="140"/>
    </x:row>
    <x:row r="24">
      <x:c r="B24" s="140" t="str">
        <x:v>Total Deflection Limit</x:v>
      </x:c>
      <x:c r="C24" s="140" t="str">
        <x:f>IF('01_INPUTS'!C125="","",'01_INPUTS'!C125)</x:f>
      </x:c>
      <x:c r="D24" s="140" t="str">
        <x:v>L/x</x:v>
      </x:c>
      <x:c r="E24" s="140" t="str">
        <x:v>CBC / project criteria</x:v>
      </x:c>
      <x:c r="F24" s="140" t="str">
        <x:f>IF(C24="","MISSING","READY")</x:f>
        <x:v>MISSING</x:v>
      </x:c>
      <x:c r="G24" s="140"/>
      <x:c r="H24" s="140"/>
      <x:c r="I24" s="140"/>
      <x:c r="J24" s="140"/>
      <x:c r="K24" s="140"/>
      <x:c r="L24" s="140"/>
      <x:c r="M24" s="140"/>
      <x:c r="N24" s="140"/>
      <x:c r="O24" s="140"/>
      <x:c r="P24" s="140"/>
      <x:c r="Q24" s="140"/>
      <x:c r="R24" s="140"/>
    </x:row>
    <x:row r="25">
      <x:c r="B25" s="140"/>
      <x:c r="C25" s="140"/>
      <x:c r="D25" s="140"/>
      <x:c r="E25" s="140"/>
      <x:c r="F25" s="140"/>
      <x:c r="G25" s="140"/>
      <x:c r="H25" s="140"/>
      <x:c r="I25" s="140"/>
      <x:c r="J25" s="140"/>
      <x:c r="K25" s="140"/>
      <x:c r="L25" s="140"/>
      <x:c r="M25" s="140"/>
      <x:c r="N25" s="140"/>
      <x:c r="O25" s="140"/>
      <x:c r="P25" s="140"/>
      <x:c r="Q25" s="140"/>
      <x:c r="R25" s="140"/>
    </x:row>
    <x:row r="26">
      <x:c r="B26" s="353" t="str">
        <x:v>SECTION PROPERTIES &amp; GRAVITY EFFECTS</x:v>
      </x:c>
      <x:c r="C26" s="353"/>
      <x:c r="D26" s="353"/>
      <x:c r="E26" s="353"/>
      <x:c r="F26" s="353"/>
      <x:c r="G26" s="353"/>
      <x:c r="H26" s="140"/>
      <x:c r="I26" s="140"/>
      <x:c r="J26" s="140"/>
      <x:c r="K26" s="140"/>
      <x:c r="L26" s="140"/>
      <x:c r="M26" s="140"/>
      <x:c r="N26" s="140"/>
      <x:c r="O26" s="140"/>
      <x:c r="P26" s="140"/>
      <x:c r="Q26" s="140"/>
      <x:c r="R26" s="140"/>
    </x:row>
    <x:row r="27">
      <x:c r="B27" s="354" t="str">
        <x:v>Quantity</x:v>
      </x:c>
      <x:c r="C27" s="354" t="str">
        <x:v>Primary Result</x:v>
      </x:c>
      <x:c r="D27" s="354" t="str">
        <x:v>Unit</x:v>
      </x:c>
      <x:c r="E27" s="354" t="str">
        <x:v>Equation / Method</x:v>
      </x:c>
      <x:c r="F27" s="354" t="str">
        <x:v>Independent Check</x:v>
      </x:c>
      <x:c r="G27" s="354" t="str">
        <x:v>Status</x:v>
      </x:c>
      <x:c r="H27" s="140"/>
      <x:c r="I27" s="140"/>
      <x:c r="J27" s="140"/>
      <x:c r="K27" s="140"/>
      <x:c r="L27" s="140"/>
      <x:c r="M27" s="140"/>
      <x:c r="N27" s="140"/>
      <x:c r="O27" s="140"/>
      <x:c r="P27" s="140"/>
      <x:c r="Q27" s="140"/>
      <x:c r="R27" s="140"/>
    </x:row>
    <x:row r="28">
      <x:c r="B28" s="140" t="str">
        <x:v>Area A</x:v>
      </x:c>
      <x:c r="C28" s="239" t="str">
        <x:f>IF(OR(C15="",C16=""),"",C15*C16)</x:f>
      </x:c>
      <x:c r="D28" s="140" t="str">
        <x:v>in²</x:v>
      </x:c>
      <x:c r="E28" s="239" t="str">
        <x:v>A = b·d</x:v>
      </x:c>
      <x:c r="F28" s="140" t="str">
        <x:f>IF(OR(C15="",C16=""),"",C15*C16)</x:f>
      </x:c>
      <x:c r="G28" s="140" t="str">
        <x:f>IF(OR(C28="",F28=""),"",IF(ABS(C28-F28)&lt;=0.001,"PASS","REVIEW"))</x:f>
      </x:c>
      <x:c r="H28" s="140"/>
      <x:c r="I28" s="140"/>
      <x:c r="J28" s="140"/>
      <x:c r="K28" s="140"/>
      <x:c r="L28" s="140"/>
      <x:c r="M28" s="140"/>
      <x:c r="N28" s="140"/>
      <x:c r="O28" s="140"/>
      <x:c r="P28" s="140"/>
      <x:c r="Q28" s="140"/>
      <x:c r="R28" s="140"/>
    </x:row>
    <x:row r="29">
      <x:c r="B29" s="140" t="str">
        <x:v>Section Modulus S</x:v>
      </x:c>
      <x:c r="C29" s="239" t="str">
        <x:f>IF(OR(C15="",C16=""),"",C15*C16^2/6)</x:f>
      </x:c>
      <x:c r="D29" s="140" t="str">
        <x:v>in³</x:v>
      </x:c>
      <x:c r="E29" s="239" t="str">
        <x:v>S = b·d²/6</x:v>
      </x:c>
      <x:c r="F29" s="140" t="str">
        <x:f>IF(OR(C15="",C16=""),"",C28*C16/6)</x:f>
      </x:c>
      <x:c r="G29" s="140" t="str">
        <x:f>IF(OR(C29="",F29=""),"",IF(ABS(C29-F29)&lt;=0.001,"PASS","REVIEW"))</x:f>
      </x:c>
      <x:c r="H29" s="140"/>
      <x:c r="I29" s="140"/>
      <x:c r="J29" s="140"/>
      <x:c r="K29" s="140"/>
      <x:c r="L29" s="140"/>
      <x:c r="M29" s="140"/>
      <x:c r="N29" s="140"/>
      <x:c r="O29" s="140"/>
      <x:c r="P29" s="140"/>
      <x:c r="Q29" s="140"/>
      <x:c r="R29" s="140"/>
    </x:row>
    <x:row r="30">
      <x:c r="B30" s="140" t="str">
        <x:v>Moment of Inertia I</x:v>
      </x:c>
      <x:c r="C30" s="239" t="str">
        <x:f>IF(OR(C15="",C16=""),"",C15*C16^3/12)</x:f>
      </x:c>
      <x:c r="D30" s="140" t="str">
        <x:v>in⁴</x:v>
      </x:c>
      <x:c r="E30" s="239" t="str">
        <x:v>I = b·d³/12</x:v>
      </x:c>
      <x:c r="F30" s="140" t="str">
        <x:f>IF(OR(C15="",C16=""),"",C29*C16/2)</x:f>
      </x:c>
      <x:c r="G30" s="140" t="str">
        <x:f>IF(OR(C30="",F30=""),"",IF(ABS(C30-F30)&lt;=0.001,"PASS","REVIEW"))</x:f>
      </x:c>
      <x:c r="H30" s="140"/>
      <x:c r="I30" s="140"/>
      <x:c r="J30" s="140"/>
      <x:c r="K30" s="140"/>
      <x:c r="L30" s="140"/>
      <x:c r="M30" s="140"/>
      <x:c r="N30" s="140"/>
      <x:c r="O30" s="140"/>
      <x:c r="P30" s="140"/>
      <x:c r="Q30" s="140"/>
      <x:c r="R30" s="140"/>
    </x:row>
    <x:row r="31">
      <x:c r="B31" s="140" t="str">
        <x:v>Dead Line Load wD</x:v>
      </x:c>
      <x:c r="C31" s="239" t="str">
        <x:f>IF(OR(C10="",C14=""),"",IF(C10="Roof",IF('01_INPUTS'!C37="","",'01_INPUTS'!C37*C14),IF('01_INPUTS'!C39="","",'01_INPUTS'!C39*C14)))</x:f>
      </x:c>
      <x:c r="D31" s="140" t="str">
        <x:v>plf</x:v>
      </x:c>
      <x:c r="E31" s="239" t="str">
        <x:v>qD·tributary width</x:v>
      </x:c>
      <x:c r="F31" s="140" t="str">
        <x:f>IF(OR(C10="",C14="",C13=""),"",IF(C10="Roof",('01_INPUTS'!C37*C14*C13)/C13,('01_INPUTS'!C39*C14*C13)/C13))</x:f>
      </x:c>
      <x:c r="G31" s="140" t="str">
        <x:f>IF(OR(C31="",F31=""),"",IF(ABS(C31-F31)&lt;=0.001,"PASS","REVIEW"))</x:f>
      </x:c>
      <x:c r="H31" s="140"/>
      <x:c r="I31" s="140"/>
      <x:c r="J31" s="140"/>
      <x:c r="K31" s="140"/>
      <x:c r="L31" s="140"/>
      <x:c r="M31" s="140"/>
      <x:c r="N31" s="140"/>
      <x:c r="O31" s="140"/>
      <x:c r="P31" s="140"/>
      <x:c r="Q31" s="140"/>
      <x:c r="R31" s="140"/>
    </x:row>
    <x:row r="32">
      <x:c r="B32" s="140" t="str">
        <x:v>Live Line Load wL</x:v>
      </x:c>
      <x:c r="C32" s="239" t="str">
        <x:f>IF(OR(C10="",C14=""),"",IF(C10="Roof",IF('01_INPUTS'!C38="","",'01_INPUTS'!C38*C14),IF('01_INPUTS'!C40="","",'01_INPUTS'!C40*C14)))</x:f>
      </x:c>
      <x:c r="D32" s="140" t="str">
        <x:v>plf</x:v>
      </x:c>
      <x:c r="E32" s="239" t="str">
        <x:v>qL·tributary width</x:v>
      </x:c>
      <x:c r="F32" s="140" t="str">
        <x:f>IF(OR(C10="",C14="",C13=""),"",IF(C10="Roof",('01_INPUTS'!C38*C14*C13)/C13,('01_INPUTS'!C40*C14*C13)/C13))</x:f>
      </x:c>
      <x:c r="G32" s="140" t="str">
        <x:f>IF(OR(C32="",F32=""),"",IF(ABS(C32-F32)&lt;=0.001,"PASS","REVIEW"))</x:f>
      </x:c>
      <x:c r="H32" s="140"/>
      <x:c r="I32" s="140"/>
      <x:c r="J32" s="140"/>
      <x:c r="K32" s="140"/>
      <x:c r="L32" s="140"/>
      <x:c r="M32" s="140"/>
      <x:c r="N32" s="140"/>
      <x:c r="O32" s="140"/>
      <x:c r="P32" s="140"/>
      <x:c r="Q32" s="140"/>
      <x:c r="R32" s="140"/>
    </x:row>
    <x:row r="33">
      <x:c r="B33" s="140" t="str">
        <x:v>Total Line Load w</x:v>
      </x:c>
      <x:c r="C33" s="239" t="str">
        <x:f>IF(OR(C31="",C32=""),"",C31+C32)</x:f>
      </x:c>
      <x:c r="D33" s="140" t="str">
        <x:v>plf</x:v>
      </x:c>
      <x:c r="E33" s="239" t="str">
        <x:v>wD + wL</x:v>
      </x:c>
      <x:c r="F33" s="140" t="str">
        <x:f>IF(OR(F31="",F32=""),"",F31+F32)</x:f>
      </x:c>
      <x:c r="G33" s="140" t="str">
        <x:f>IF(OR(C33="",F33=""),"",IF(ABS(C33-F33)&lt;=0.001,"PASS","REVIEW"))</x:f>
      </x:c>
      <x:c r="H33" s="140"/>
      <x:c r="I33" s="140"/>
      <x:c r="J33" s="140"/>
      <x:c r="K33" s="140"/>
      <x:c r="L33" s="140"/>
      <x:c r="M33" s="140"/>
      <x:c r="N33" s="140"/>
      <x:c r="O33" s="140"/>
      <x:c r="P33" s="140"/>
      <x:c r="Q33" s="140"/>
      <x:c r="R33" s="140"/>
    </x:row>
    <x:row r="34">
      <x:c r="B34" s="140" t="str">
        <x:v>End Reaction R</x:v>
      </x:c>
      <x:c r="C34" s="239" t="str">
        <x:f>IF(OR(C33="",C13=""),"",C33*C13/2)</x:f>
      </x:c>
      <x:c r="D34" s="140" t="str">
        <x:v>lb</x:v>
      </x:c>
      <x:c r="E34" s="239" t="str">
        <x:v>wL/2 (uniform load)</x:v>
      </x:c>
      <x:c r="F34" s="140" t="str">
        <x:f>IF(OR(F33="",C13=""),"",F33*C13*0.5)</x:f>
      </x:c>
      <x:c r="G34" s="140" t="str">
        <x:f>IF(OR(C34="",F34=""),"",IF(ABS(C34-F34)&lt;=0.001,"PASS","REVIEW"))</x:f>
      </x:c>
      <x:c r="H34" s="140"/>
      <x:c r="I34" s="140"/>
      <x:c r="J34" s="140"/>
      <x:c r="K34" s="140"/>
      <x:c r="L34" s="140"/>
      <x:c r="M34" s="140"/>
      <x:c r="N34" s="140"/>
      <x:c r="O34" s="140"/>
      <x:c r="P34" s="140"/>
      <x:c r="Q34" s="140"/>
      <x:c r="R34" s="140"/>
    </x:row>
    <x:row r="35">
      <x:c r="B35" s="140" t="str">
        <x:v>Maximum Moment Mmax</x:v>
      </x:c>
      <x:c r="C35" s="239" t="str">
        <x:f>IF(OR(C33="",C13=""),"",C33*C13^2/8)</x:f>
      </x:c>
      <x:c r="D35" s="140" t="str">
        <x:v>ft-lb</x:v>
      </x:c>
      <x:c r="E35" s="239" t="str">
        <x:v>wL²/8</x:v>
      </x:c>
      <x:c r="F35" s="140" t="str">
        <x:f>IF(OR(F34="",F33="",C13=""),"",F34*(C13/2)-F33*(C13/2)^2/2)</x:f>
      </x:c>
      <x:c r="G35" s="140" t="str">
        <x:f>IF(OR(C35="",F35=""),"",IF(ABS(C35-F35)&lt;=0.001,"PASS","REVIEW"))</x:f>
      </x:c>
      <x:c r="H35" s="140"/>
      <x:c r="I35" s="140"/>
      <x:c r="J35" s="140"/>
      <x:c r="K35" s="140"/>
      <x:c r="L35" s="140"/>
      <x:c r="M35" s="140"/>
      <x:c r="N35" s="140"/>
      <x:c r="O35" s="140"/>
      <x:c r="P35" s="140"/>
      <x:c r="Q35" s="140"/>
      <x:c r="R35" s="140"/>
    </x:row>
    <x:row r="36">
      <x:c r="B36" s="140" t="str">
        <x:v>Dead Deflection ΔD</x:v>
      </x:c>
      <x:c r="C36" s="239" t="str">
        <x:f>IF(OR(C31="",C13="",E47="",C30=""),"",5*(C31/12)*(C13*12)^4/(384*E47*C30))</x:f>
      </x:c>
      <x:c r="D36" s="140" t="str">
        <x:v>in</x:v>
      </x:c>
      <x:c r="E36" s="239" t="str">
        <x:v>5wDL⁴/(384E'I)</x:v>
      </x:c>
      <x:c r="F36" s="140" t="str">
        <x:f>IF(OR(F31="",C13="",E47="",C30=""),"",5*(F31*C13)*(C13*12)^3/(384*E47*C30))</x:f>
      </x:c>
      <x:c r="G36" s="140" t="str">
        <x:f>IF(OR(C36="",F36=""),"",IF(ABS(C36-F36)&lt;=0.0001,"PASS","REVIEW"))</x:f>
      </x:c>
      <x:c r="H36" s="140"/>
      <x:c r="I36" s="140"/>
      <x:c r="J36" s="140"/>
      <x:c r="K36" s="140"/>
      <x:c r="L36" s="140"/>
      <x:c r="M36" s="140"/>
      <x:c r="N36" s="140"/>
      <x:c r="O36" s="140"/>
      <x:c r="P36" s="140"/>
      <x:c r="Q36" s="140"/>
      <x:c r="R36" s="140"/>
    </x:row>
    <x:row r="37">
      <x:c r="B37" s="140" t="str">
        <x:v>Live Deflection ΔL</x:v>
      </x:c>
      <x:c r="C37" s="239" t="str">
        <x:f>IF(OR(C32="",C13="",E47="",C30=""),"",5*(C32/12)*(C13*12)^4/(384*E47*C30))</x:f>
      </x:c>
      <x:c r="D37" s="140" t="str">
        <x:v>in</x:v>
      </x:c>
      <x:c r="E37" s="239" t="str">
        <x:v>5wLL⁴/(384E'I)</x:v>
      </x:c>
      <x:c r="F37" s="140" t="str">
        <x:f>IF(OR(F32="",C13="",E47="",C30=""),"",5*(F32*C13)*(C13*12)^3/(384*E47*C30))</x:f>
      </x:c>
      <x:c r="G37" s="140" t="str">
        <x:f>IF(OR(C37="",F37=""),"",IF(ABS(C37-F37)&lt;=0.0001,"PASS","REVIEW"))</x:f>
      </x:c>
      <x:c r="H37" s="140"/>
      <x:c r="I37" s="140"/>
      <x:c r="J37" s="140"/>
      <x:c r="K37" s="140"/>
      <x:c r="L37" s="140"/>
      <x:c r="M37" s="140"/>
      <x:c r="N37" s="140"/>
      <x:c r="O37" s="140"/>
      <x:c r="P37" s="140"/>
      <x:c r="Q37" s="140"/>
      <x:c r="R37" s="140"/>
    </x:row>
    <x:row r="38">
      <x:c r="B38" s="140" t="str">
        <x:v>Total Deflection ΔT</x:v>
      </x:c>
      <x:c r="C38" s="239" t="str">
        <x:f>IF(OR(C36="",C37=""),"",C36+C37)</x:f>
      </x:c>
      <x:c r="D38" s="140" t="str">
        <x:v>in</x:v>
      </x:c>
      <x:c r="E38" s="239" t="str">
        <x:v>ΔD + ΔL</x:v>
      </x:c>
      <x:c r="F38" s="140" t="str">
        <x:f>IF(OR(F36="",F37=""),"",F36+F37)</x:f>
      </x:c>
      <x:c r="G38" s="140" t="str">
        <x:f>IF(OR(C38="",F38=""),"",IF(ABS(C38-F38)&lt;=0.0001,"PASS","REVIEW"))</x:f>
      </x:c>
      <x:c r="H38" s="140"/>
      <x:c r="I38" s="140"/>
      <x:c r="J38" s="140"/>
      <x:c r="K38" s="140"/>
      <x:c r="L38" s="140"/>
      <x:c r="M38" s="140"/>
      <x:c r="N38" s="140"/>
      <x:c r="O38" s="140"/>
      <x:c r="P38" s="140"/>
      <x:c r="Q38" s="140"/>
      <x:c r="R38" s="140"/>
    </x:row>
    <x:row r="39">
      <x:c r="B39" s="140" t="str">
        <x:v>Live Span/Δ</x:v>
      </x:c>
      <x:c r="C39" s="356" t="str">
        <x:f>IF(OR(C37="",C37=0,C13=""),"",C13*12/C37)</x:f>
      </x:c>
      <x:c r="D39" s="140" t="str">
        <x:v>L/x</x:v>
      </x:c>
      <x:c r="E39" s="356" t="str">
        <x:v>L/ΔL</x:v>
      </x:c>
      <x:c r="F39" s="140" t="str">
        <x:f>IF(OR(F37="",F37=0,C13=""),"",C13*12/F37)</x:f>
      </x:c>
      <x:c r="G39" s="140" t="str">
        <x:f>IF(OR(C39="",F39=""),"",IF(ABS(C39-F39)&lt;=0.001,"PASS","REVIEW"))</x:f>
      </x:c>
      <x:c r="H39" s="140"/>
      <x:c r="I39" s="140"/>
      <x:c r="J39" s="140"/>
      <x:c r="K39" s="140"/>
      <x:c r="L39" s="140"/>
      <x:c r="M39" s="140"/>
      <x:c r="N39" s="140"/>
      <x:c r="O39" s="140"/>
      <x:c r="P39" s="140"/>
      <x:c r="Q39" s="140"/>
      <x:c r="R39" s="140"/>
    </x:row>
    <x:row r="40">
      <x:c r="B40" s="140" t="str">
        <x:v>Total Span/Δ</x:v>
      </x:c>
      <x:c r="C40" s="356" t="str">
        <x:f>IF(OR(C38="",C38=0,C13=""),"",C13*12/C38)</x:f>
      </x:c>
      <x:c r="D40" s="140" t="str">
        <x:v>L/x</x:v>
      </x:c>
      <x:c r="E40" s="356" t="str">
        <x:v>L/ΔT</x:v>
      </x:c>
      <x:c r="F40" s="140" t="str">
        <x:f>IF(OR(F38="",F38=0,C13=""),"",C13*12/F38)</x:f>
      </x:c>
      <x:c r="G40" s="140" t="str">
        <x:f>IF(OR(C40="",F40=""),"",IF(ABS(C40-F40)&lt;=0.001,"PASS","REVIEW"))</x:f>
      </x:c>
      <x:c r="H40" s="140"/>
      <x:c r="I40" s="140"/>
      <x:c r="J40" s="140"/>
      <x:c r="K40" s="140"/>
      <x:c r="L40" s="140"/>
      <x:c r="M40" s="140"/>
      <x:c r="N40" s="140"/>
      <x:c r="O40" s="140"/>
      <x:c r="P40" s="140"/>
      <x:c r="Q40" s="140"/>
      <x:c r="R40" s="140"/>
    </x:row>
    <x:row r="41">
      <x:c r="B41" s="140"/>
      <x:c r="C41" s="140"/>
      <x:c r="D41" s="140"/>
      <x:c r="E41" s="140"/>
      <x:c r="F41" s="140"/>
      <x:c r="G41" s="140"/>
      <x:c r="H41" s="140"/>
      <x:c r="I41" s="140"/>
      <x:c r="J41" s="140"/>
      <x:c r="K41" s="140"/>
      <x:c r="L41" s="140"/>
      <x:c r="M41" s="140"/>
      <x:c r="N41" s="140"/>
      <x:c r="O41" s="140"/>
      <x:c r="P41" s="140"/>
      <x:c r="Q41" s="140"/>
      <x:c r="R41" s="140"/>
    </x:row>
    <x:row r="42">
      <x:c r="B42" s="353" t="str">
        <x:v>ASD REFERENCE DESIGN VALUE ADJUSTMENT AUDIT</x:v>
      </x:c>
      <x:c r="C42" s="353"/>
      <x:c r="D42" s="353"/>
      <x:c r="E42" s="353"/>
      <x:c r="F42" s="353"/>
      <x:c r="G42" s="353"/>
      <x:c r="H42" s="353"/>
      <x:c r="I42" s="140"/>
      <x:c r="J42" s="140"/>
      <x:c r="K42" s="140"/>
      <x:c r="L42" s="140"/>
      <x:c r="M42" s="140"/>
      <x:c r="N42" s="140"/>
      <x:c r="O42" s="140"/>
      <x:c r="P42" s="140"/>
      <x:c r="Q42" s="140"/>
      <x:c r="R42" s="140"/>
    </x:row>
    <x:row r="43">
      <x:c r="B43" s="354" t="str">
        <x:v>Property</x:v>
      </x:c>
      <x:c r="C43" s="354" t="str">
        <x:v>Reference</x:v>
      </x:c>
      <x:c r="D43" s="354" t="str">
        <x:v>Factor Product</x:v>
      </x:c>
      <x:c r="E43" s="354" t="str">
        <x:v>Adjusted</x:v>
      </x:c>
      <x:c r="F43" s="354" t="str">
        <x:v>Unit</x:v>
      </x:c>
      <x:c r="G43" s="354" t="str">
        <x:v>Factors Applied</x:v>
      </x:c>
      <x:c r="H43" s="354" t="str">
        <x:v>Status</x:v>
      </x:c>
      <x:c r="I43" s="140"/>
      <x:c r="J43" s="140"/>
      <x:c r="K43" s="140"/>
      <x:c r="L43" s="140"/>
      <x:c r="M43" s="140"/>
      <x:c r="N43" s="140"/>
      <x:c r="O43" s="140"/>
      <x:c r="P43" s="140"/>
      <x:c r="Q43" s="140"/>
      <x:c r="R43" s="140"/>
    </x:row>
    <x:row r="44">
      <x:c r="B44" s="140" t="str">
        <x:v>Fb′</x:v>
      </x:c>
      <x:c r="C44" s="239" t="str">
        <x:f>IF(C19="","",C19)</x:f>
      </x:c>
      <x:c r="D44" s="239" t="str">
        <x:f>IF(COUNT('01_INPUTS'!C126,'01_INPUTS'!C127,'01_INPUTS'!C131,'01_INPUTS'!C135,'01_INPUTS'!C136,'01_INPUTS'!C137,'01_INPUTS'!C138)&lt;7,"",PRODUCT('01_INPUTS'!C126,'01_INPUTS'!C127,'01_INPUTS'!C131,'01_INPUTS'!C135,'01_INPUTS'!C136,'01_INPUTS'!C137,'01_INPUTS'!C138))</x:f>
      </x:c>
      <x:c r="E44" s="239" t="str">
        <x:f>IF(OR(C44="",D44=""),"",C44*D44)</x:f>
      </x:c>
      <x:c r="F44" s="140" t="str">
        <x:v>psi</x:v>
      </x:c>
      <x:c r="G44" s="140" t="str">
        <x:v>CD·CM·Ct·CF·Cfu·Cr·CL</x:v>
      </x:c>
      <x:c r="H44" s="140" t="str">
        <x:f>IF(E44="","PENDING","READY")</x:f>
        <x:v>PENDING</x:v>
      </x:c>
      <x:c r="I44" s="140"/>
      <x:c r="J44" s="140"/>
      <x:c r="K44" s="140"/>
      <x:c r="L44" s="140"/>
      <x:c r="M44" s="140"/>
      <x:c r="N44" s="140"/>
      <x:c r="O44" s="140"/>
      <x:c r="P44" s="140"/>
      <x:c r="Q44" s="140"/>
      <x:c r="R44" s="140"/>
    </x:row>
    <x:row r="45">
      <x:c r="B45" s="140" t="str">
        <x:v>Fv′</x:v>
      </x:c>
      <x:c r="C45" s="239" t="str">
        <x:f>IF(C20="","",C20)</x:f>
      </x:c>
      <x:c r="D45" s="239" t="str">
        <x:f>IF(COUNT('01_INPUTS'!C126,'01_INPUTS'!C128,'01_INPUTS'!C132)&lt;3,"",PRODUCT('01_INPUTS'!C126,'01_INPUTS'!C128,'01_INPUTS'!C132))</x:f>
      </x:c>
      <x:c r="E45" s="239" t="str">
        <x:f>IF(OR(C45="",D45=""),"",C45*D45)</x:f>
      </x:c>
      <x:c r="F45" s="140" t="str">
        <x:v>psi</x:v>
      </x:c>
      <x:c r="G45" s="140" t="str">
        <x:v>CD·CM·Ct</x:v>
      </x:c>
      <x:c r="H45" s="140" t="str">
        <x:f>IF(E45="","PENDING","READY")</x:f>
        <x:v>PENDING</x:v>
      </x:c>
      <x:c r="I45" s="140"/>
      <x:c r="J45" s="140"/>
      <x:c r="K45" s="140"/>
      <x:c r="L45" s="140"/>
      <x:c r="M45" s="140"/>
      <x:c r="N45" s="140"/>
      <x:c r="O45" s="140"/>
      <x:c r="P45" s="140"/>
      <x:c r="Q45" s="140"/>
      <x:c r="R45" s="140"/>
    </x:row>
    <x:row r="46">
      <x:c r="B46" s="140" t="str">
        <x:v>Fc⊥′</x:v>
      </x:c>
      <x:c r="C46" s="239" t="str">
        <x:f>IF(C21="","",C21)</x:f>
      </x:c>
      <x:c r="D46" s="239" t="str">
        <x:f>IF(COUNT('01_INPUTS'!C129,'01_INPUTS'!C133,'01_INPUTS'!C139)&lt;3,"",PRODUCT('01_INPUTS'!C129,'01_INPUTS'!C133,'01_INPUTS'!C139))</x:f>
      </x:c>
      <x:c r="E46" s="239" t="str">
        <x:f>IF(OR(C46="",D46=""),"",C46*D46)</x:f>
      </x:c>
      <x:c r="F46" s="140" t="str">
        <x:v>psi</x:v>
      </x:c>
      <x:c r="G46" s="140" t="str">
        <x:v>CM·Ct·Cb</x:v>
      </x:c>
      <x:c r="H46" s="140" t="str">
        <x:f>IF(E46="","PENDING","READY")</x:f>
        <x:v>PENDING</x:v>
      </x:c>
      <x:c r="I46" s="140"/>
      <x:c r="J46" s="140"/>
      <x:c r="K46" s="140"/>
      <x:c r="L46" s="140"/>
      <x:c r="M46" s="140"/>
      <x:c r="N46" s="140"/>
      <x:c r="O46" s="140"/>
      <x:c r="P46" s="140"/>
      <x:c r="Q46" s="140"/>
      <x:c r="R46" s="140"/>
    </x:row>
    <x:row r="47">
      <x:c r="B47" s="140" t="str">
        <x:v>E′</x:v>
      </x:c>
      <x:c r="C47" s="239" t="str">
        <x:f>IF(C22="","",C22)</x:f>
      </x:c>
      <x:c r="D47" s="239" t="str">
        <x:f>IF(COUNT('01_INPUTS'!C130,'01_INPUTS'!C134)&lt;2,"",PRODUCT('01_INPUTS'!C130,'01_INPUTS'!C134))</x:f>
      </x:c>
      <x:c r="E47" s="239" t="str">
        <x:f>IF(OR(C47="",D47=""),"",C47*D47)</x:f>
      </x:c>
      <x:c r="F47" s="140" t="str">
        <x:v>psi</x:v>
      </x:c>
      <x:c r="G47" s="140" t="str">
        <x:v>CM·Ct</x:v>
      </x:c>
      <x:c r="H47" s="140" t="str">
        <x:f>IF(E47="","PENDING","READY")</x:f>
        <x:v>PENDING</x:v>
      </x:c>
      <x:c r="I47" s="140"/>
      <x:c r="J47" s="140"/>
      <x:c r="K47" s="140"/>
      <x:c r="L47" s="140"/>
      <x:c r="M47" s="140"/>
      <x:c r="N47" s="140"/>
      <x:c r="O47" s="140"/>
      <x:c r="P47" s="140"/>
      <x:c r="Q47" s="140"/>
      <x:c r="R47" s="140"/>
    </x:row>
    <x:row r="48">
      <x:c r="B48" s="140"/>
      <x:c r="C48" s="140"/>
      <x:c r="D48" s="140"/>
      <x:c r="E48" s="140"/>
      <x:c r="F48" s="140"/>
      <x:c r="G48" s="140"/>
      <x:c r="H48" s="140"/>
      <x:c r="I48" s="140"/>
      <x:c r="J48" s="140"/>
      <x:c r="K48" s="140"/>
      <x:c r="L48" s="140"/>
      <x:c r="M48" s="140"/>
      <x:c r="N48" s="140"/>
      <x:c r="O48" s="140"/>
      <x:c r="P48" s="140"/>
      <x:c r="Q48" s="140"/>
      <x:c r="R48" s="140"/>
    </x:row>
    <x:row r="49">
      <x:c r="B49" s="353" t="str">
        <x:v>STRENGTH &amp; SERVICEABILITY CHECKS</x:v>
      </x:c>
      <x:c r="C49" s="353"/>
      <x:c r="D49" s="353"/>
      <x:c r="E49" s="353"/>
      <x:c r="F49" s="353"/>
      <x:c r="G49" s="353"/>
      <x:c r="H49" s="353"/>
      <x:c r="I49" s="353"/>
      <x:c r="J49" s="140"/>
      <x:c r="K49" s="140"/>
      <x:c r="L49" s="140"/>
      <x:c r="M49" s="140"/>
      <x:c r="N49" s="140"/>
      <x:c r="O49" s="140"/>
      <x:c r="P49" s="140"/>
      <x:c r="Q49" s="140"/>
      <x:c r="R49" s="140"/>
    </x:row>
    <x:row r="50">
      <x:c r="B50" s="354" t="str">
        <x:v>Check</x:v>
      </x:c>
      <x:c r="C50" s="354" t="str">
        <x:v>Demand</x:v>
      </x:c>
      <x:c r="D50" s="354" t="str">
        <x:v>Unit</x:v>
      </x:c>
      <x:c r="E50" s="354" t="str">
        <x:v>Capacity / Limit</x:v>
      </x:c>
      <x:c r="F50" s="354" t="str">
        <x:v>Unit</x:v>
      </x:c>
      <x:c r="G50" s="354" t="str">
        <x:v>D/C</x:v>
      </x:c>
      <x:c r="H50" s="354" t="str">
        <x:v>Status</x:v>
      </x:c>
      <x:c r="I50" s="354" t="str">
        <x:v>Reference / Note</x:v>
      </x:c>
      <x:c r="J50" s="140"/>
      <x:c r="K50" s="140"/>
      <x:c r="L50" s="140"/>
      <x:c r="M50" s="140"/>
      <x:c r="N50" s="140"/>
      <x:c r="O50" s="140"/>
      <x:c r="P50" s="140"/>
      <x:c r="Q50" s="140"/>
      <x:c r="R50" s="140"/>
    </x:row>
    <x:row r="51">
      <x:c r="B51" s="140" t="str">
        <x:v>Bending</x:v>
      </x:c>
      <x:c r="C51" s="239" t="str">
        <x:f>IF(OR(C35="",C29=""),"",C35*12/C29)</x:f>
      </x:c>
      <x:c r="D51" s="239" t="str">
        <x:v>psi</x:v>
      </x:c>
      <x:c r="E51" s="239" t="str">
        <x:f>IF(E44="","",E44)</x:f>
      </x:c>
      <x:c r="F51" s="239" t="str">
        <x:v>psi</x:v>
      </x:c>
      <x:c r="G51" s="239" t="str">
        <x:f>IF(OR(C51="",E51="",E51=0),"",C51/E51)</x:f>
      </x:c>
      <x:c r="H51" s="140" t="str">
        <x:f>IF(G51="","PENDING",IF(G51&lt;=1,"PASS","FAIL"))</x:f>
        <x:v>PENDING</x:v>
      </x:c>
      <x:c r="I51" s="140" t="str">
        <x:v>fb = M/S; adjusted Fb′</x:v>
      </x:c>
      <x:c r="J51" s="140"/>
      <x:c r="K51" s="140"/>
      <x:c r="L51" s="140"/>
      <x:c r="M51" s="140"/>
      <x:c r="N51" s="140"/>
      <x:c r="O51" s="140"/>
      <x:c r="P51" s="140"/>
      <x:c r="Q51" s="140"/>
      <x:c r="R51" s="140"/>
    </x:row>
    <x:row r="52">
      <x:c r="B52" s="140" t="str">
        <x:v>Shear</x:v>
      </x:c>
      <x:c r="C52" s="239" t="str">
        <x:f>IF(OR(C34="",C28=""),"",1.5*C34/C28)</x:f>
      </x:c>
      <x:c r="D52" s="239" t="str">
        <x:v>psi</x:v>
      </x:c>
      <x:c r="E52" s="239" t="str">
        <x:f>IF(E45="","",E45)</x:f>
      </x:c>
      <x:c r="F52" s="239" t="str">
        <x:v>psi</x:v>
      </x:c>
      <x:c r="G52" s="239" t="str">
        <x:f>IF(OR(C52="",E52="",E52=0),"",C52/E52)</x:f>
      </x:c>
      <x:c r="H52" s="140" t="str">
        <x:f>IF(G52="","PENDING",IF(G52&lt;=1,"PASS","FAIL"))</x:f>
        <x:v>PENDING</x:v>
      </x:c>
      <x:c r="I52" s="140" t="str">
        <x:v>Conservative max rectangular shear stress</x:v>
      </x:c>
      <x:c r="J52" s="140"/>
      <x:c r="K52" s="140"/>
      <x:c r="L52" s="140"/>
      <x:c r="M52" s="140"/>
      <x:c r="N52" s="140"/>
      <x:c r="O52" s="140"/>
      <x:c r="P52" s="140"/>
      <x:c r="Q52" s="140"/>
      <x:c r="R52" s="140"/>
    </x:row>
    <x:row r="53">
      <x:c r="B53" s="140" t="str">
        <x:v>Bearing — Left</x:v>
      </x:c>
      <x:c r="C53" s="239" t="str">
        <x:f>IF(OR(C34="",C15="",C17="",C17=0),"",C34/(C15*C17))</x:f>
      </x:c>
      <x:c r="D53" s="239" t="str">
        <x:v>psi</x:v>
      </x:c>
      <x:c r="E53" s="239" t="str">
        <x:f>IF(E46="","",E46)</x:f>
      </x:c>
      <x:c r="F53" s="239" t="str">
        <x:v>psi</x:v>
      </x:c>
      <x:c r="G53" s="239" t="str">
        <x:f>IF(OR(C53="",E53="",E53=0),"",C53/E53)</x:f>
      </x:c>
      <x:c r="H53" s="140" t="str">
        <x:f>IF(G53="","PENDING",IF(G53&lt;=1,"PASS","FAIL"))</x:f>
        <x:v>PENDING</x:v>
      </x:c>
      <x:c r="I53" s="140" t="str">
        <x:v>Reaction / bearing area</x:v>
      </x:c>
      <x:c r="J53" s="140"/>
      <x:c r="K53" s="140"/>
      <x:c r="L53" s="140"/>
      <x:c r="M53" s="140"/>
      <x:c r="N53" s="140"/>
      <x:c r="O53" s="140"/>
      <x:c r="P53" s="140"/>
      <x:c r="Q53" s="140"/>
      <x:c r="R53" s="140"/>
    </x:row>
    <x:row r="54">
      <x:c r="B54" s="140" t="str">
        <x:v>Bearing — Right</x:v>
      </x:c>
      <x:c r="C54" s="239" t="str">
        <x:f>IF(OR(C34="",C15="",C18="",C18=0),"",C34/(C15*C18))</x:f>
      </x:c>
      <x:c r="D54" s="239" t="str">
        <x:v>psi</x:v>
      </x:c>
      <x:c r="E54" s="239" t="str">
        <x:f>IF(E46="","",E46)</x:f>
      </x:c>
      <x:c r="F54" s="239" t="str">
        <x:v>psi</x:v>
      </x:c>
      <x:c r="G54" s="239" t="str">
        <x:f>IF(OR(C54="",E54="",E54=0),"",C54/E54)</x:f>
      </x:c>
      <x:c r="H54" s="140" t="str">
        <x:f>IF(G54="","PENDING",IF(G54&lt;=1,"PASS","FAIL"))</x:f>
        <x:v>PENDING</x:v>
      </x:c>
      <x:c r="I54" s="140" t="str">
        <x:v>Reaction / bearing area</x:v>
      </x:c>
      <x:c r="J54" s="140"/>
      <x:c r="K54" s="140"/>
      <x:c r="L54" s="140"/>
      <x:c r="M54" s="140"/>
      <x:c r="N54" s="140"/>
      <x:c r="O54" s="140"/>
      <x:c r="P54" s="140"/>
      <x:c r="Q54" s="140"/>
      <x:c r="R54" s="140"/>
    </x:row>
    <x:row r="55">
      <x:c r="B55" s="140" t="str">
        <x:v>Live Deflection</x:v>
      </x:c>
      <x:c r="C55" s="239" t="str">
        <x:f>IF(C37="","",C37)</x:f>
      </x:c>
      <x:c r="D55" s="239" t="str">
        <x:v>in</x:v>
      </x:c>
      <x:c r="E55" s="239" t="str">
        <x:f>IF(OR(C13="",C23="",C23=0),"",C13*12/C23)</x:f>
      </x:c>
      <x:c r="F55" s="239" t="str">
        <x:v>in</x:v>
      </x:c>
      <x:c r="G55" s="239" t="str">
        <x:f>IF(OR(C55="",E55="",E55=0),"",C55/E55)</x:f>
      </x:c>
      <x:c r="H55" s="140" t="str">
        <x:f>IF(G55="","PENDING",IF(G55&lt;=1,"PASS","FAIL"))</x:f>
        <x:v>PENDING</x:v>
      </x:c>
      <x:c r="I55" s="140" t="str">
        <x:v>ΔL vs L / live limit</x:v>
      </x:c>
      <x:c r="J55" s="140"/>
      <x:c r="K55" s="140"/>
      <x:c r="L55" s="140"/>
      <x:c r="M55" s="140"/>
      <x:c r="N55" s="140"/>
      <x:c r="O55" s="140"/>
      <x:c r="P55" s="140"/>
      <x:c r="Q55" s="140"/>
      <x:c r="R55" s="140"/>
    </x:row>
    <x:row r="56">
      <x:c r="B56" s="140" t="str">
        <x:v>Total Deflection</x:v>
      </x:c>
      <x:c r="C56" s="239" t="str">
        <x:f>IF(C38="","",C38)</x:f>
      </x:c>
      <x:c r="D56" s="239" t="str">
        <x:v>in</x:v>
      </x:c>
      <x:c r="E56" s="239" t="str">
        <x:f>IF(OR(C13="",C24="",C24=0),"",C13*12/C24)</x:f>
      </x:c>
      <x:c r="F56" s="239" t="str">
        <x:v>in</x:v>
      </x:c>
      <x:c r="G56" s="239" t="str">
        <x:f>IF(OR(C56="",E56="",E56=0),"",C56/E56)</x:f>
      </x:c>
      <x:c r="H56" s="140" t="str">
        <x:f>IF(G56="","PENDING",IF(G56&lt;=1,"PASS","FAIL"))</x:f>
        <x:v>PENDING</x:v>
      </x:c>
      <x:c r="I56" s="140" t="str">
        <x:v>ΔT vs L / total limit</x:v>
      </x:c>
      <x:c r="J56" s="140"/>
      <x:c r="K56" s="140"/>
      <x:c r="L56" s="140"/>
      <x:c r="M56" s="140"/>
      <x:c r="N56" s="140"/>
      <x:c r="O56" s="140"/>
      <x:c r="P56" s="140"/>
      <x:c r="Q56" s="140"/>
      <x:c r="R56" s="140"/>
    </x:row>
    <x:row r="57">
      <x:c r="B57" s="140" t="str">
        <x:v>Overall Utilization</x:v>
      </x:c>
      <x:c r="C57" s="239" t="str">
        <x:f>IF(COUNT(G51:G56)=0,"",MAX(G51:G56))</x:f>
      </x:c>
      <x:c r="D57" s="239"/>
      <x:c r="E57" s="239" t="n">
        <x:v>1</x:v>
      </x:c>
      <x:c r="F57" s="239"/>
      <x:c r="G57" s="239" t="str">
        <x:f>IF(C57="","",C57)</x:f>
      </x:c>
      <x:c r="H57" s="140" t="str">
        <x:f>IF(G57="","PENDING",IF(G57&lt;=1,"PASS","FAIL"))</x:f>
        <x:v>PENDING</x:v>
      </x:c>
      <x:c r="I57" s="140" t="str">
        <x:v>Maximum D/C among completed checks</x:v>
      </x:c>
      <x:c r="J57" s="140"/>
      <x:c r="K57" s="140"/>
      <x:c r="L57" s="140"/>
      <x:c r="M57" s="140"/>
      <x:c r="N57" s="140"/>
      <x:c r="O57" s="140"/>
      <x:c r="P57" s="140"/>
      <x:c r="Q57" s="140"/>
      <x:c r="R57" s="140"/>
    </x:row>
    <x:row r="58">
      <x:c r="B58" s="140" t="str">
        <x:v>Special Conditions</x:v>
      </x:c>
      <x:c r="C58" s="140"/>
      <x:c r="D58" s="140"/>
      <x:c r="E58" s="140"/>
      <x:c r="F58" s="140"/>
      <x:c r="G58" s="140"/>
      <x:c r="H58" s="140" t="str">
        <x:v>REVIEW</x:v>
      </x:c>
      <x:c r="I58" s="140" t="str">
        <x:v>Notches/holes/concentrated loads/lateral restraint require explicit review</x:v>
      </x:c>
      <x:c r="J58" s="140"/>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353" t="str">
        <x:v>SCOPE / ENGINEERING REVIEW GATES</x:v>
      </x:c>
      <x:c r="C60" s="353"/>
      <x:c r="D60" s="353"/>
      <x:c r="E60" s="353"/>
      <x:c r="F60" s="353"/>
      <x:c r="G60" s="353"/>
      <x:c r="H60" s="353"/>
      <x:c r="I60" s="140"/>
      <x:c r="J60" s="140"/>
      <x:c r="K60" s="140"/>
      <x:c r="L60" s="140"/>
      <x:c r="M60" s="140"/>
      <x:c r="N60" s="140"/>
      <x:c r="O60" s="140"/>
      <x:c r="P60" s="140"/>
      <x:c r="Q60" s="140"/>
      <x:c r="R60" s="140"/>
    </x:row>
    <x:row r="61">
      <x:c r="B61" s="354" t="str">
        <x:v>Control</x:v>
      </x:c>
      <x:c r="C61" s="354" t="str">
        <x:v>Status</x:v>
      </x:c>
      <x:c r="D61" s="354" t="str">
        <x:v>Reason / Required Action</x:v>
      </x:c>
      <x:c r="E61" s="354"/>
      <x:c r="F61" s="354"/>
      <x:c r="G61" s="354"/>
      <x:c r="H61" s="354"/>
      <x:c r="I61" s="140"/>
      <x:c r="J61" s="140"/>
      <x:c r="K61" s="140"/>
      <x:c r="L61" s="140"/>
      <x:c r="M61" s="140"/>
      <x:c r="N61" s="140"/>
      <x:c r="O61" s="140"/>
      <x:c r="P61" s="140"/>
      <x:c r="Q61" s="140"/>
      <x:c r="R61" s="140"/>
    </x:row>
    <x:row r="62" ht="34" customHeight="1">
      <x:c r="B62" s="140" t="str">
        <x:v>2024 NDS shear provisions</x:v>
      </x:c>
      <x:c r="C62" s="140" t="str">
        <x:v>REVIEW</x:v>
      </x:c>
      <x:c r="D62" s="140" t="str">
        <x:v>Current engine uses unreduced support shear; licensed 2024 NDS review required for applicable shear-location/reduction provisions.</x:v>
      </x:c>
      <x:c r="E62" s="140"/>
      <x:c r="F62" s="140"/>
      <x:c r="G62" s="140"/>
      <x:c r="H62" s="140"/>
      <x:c r="I62" s="140"/>
      <x:c r="J62" s="140"/>
      <x:c r="K62" s="140"/>
      <x:c r="L62" s="140"/>
      <x:c r="M62" s="140"/>
      <x:c r="N62" s="140"/>
      <x:c r="O62" s="140"/>
      <x:c r="P62" s="140"/>
      <x:c r="Q62" s="140"/>
      <x:c r="R62" s="140"/>
    </x:row>
    <x:row r="63" ht="34" customHeight="1">
      <x:c r="B63" s="140" t="str">
        <x:v>Beam lateral stability / bracing</x:v>
      </x:c>
      <x:c r="C63" s="140" t="str">
        <x:v>REVIEW</x:v>
      </x:c>
      <x:c r="D63" s="140" t="str">
        <x:v>CL is a controlled input; verify actual restraint and applicability.</x:v>
      </x:c>
      <x:c r="E63" s="140"/>
      <x:c r="F63" s="140"/>
      <x:c r="G63" s="140"/>
      <x:c r="H63" s="140"/>
      <x:c r="I63" s="140"/>
      <x:c r="J63" s="140"/>
      <x:c r="K63" s="140"/>
      <x:c r="L63" s="140"/>
      <x:c r="M63" s="140"/>
      <x:c r="N63" s="140"/>
      <x:c r="O63" s="140"/>
      <x:c r="P63" s="140"/>
      <x:c r="Q63" s="140"/>
      <x:c r="R63" s="140"/>
    </x:row>
    <x:row r="64" ht="34" customHeight="1">
      <x:c r="B64" s="140" t="str">
        <x:v>Notches / holes</x:v>
      </x:c>
      <x:c r="C64" s="140" t="str">
        <x:v>REVIEW</x:v>
      </x:c>
      <x:c r="D64" s="140" t="str">
        <x:v>Geometry and stress-concentration checks are not yet automated.</x:v>
      </x:c>
      <x:c r="E64" s="140"/>
      <x:c r="F64" s="140"/>
      <x:c r="G64" s="140"/>
      <x:c r="H64" s="140"/>
      <x:c r="I64" s="140"/>
      <x:c r="J64" s="140"/>
      <x:c r="K64" s="140"/>
      <x:c r="L64" s="140"/>
      <x:c r="M64" s="140"/>
      <x:c r="N64" s="140"/>
      <x:c r="O64" s="140"/>
      <x:c r="P64" s="140"/>
      <x:c r="Q64" s="140"/>
      <x:c r="R64" s="140"/>
    </x:row>
    <x:row r="65" ht="34" customHeight="1">
      <x:c r="B65" s="140" t="str">
        <x:v>Concentrated / point loads</x:v>
      </x:c>
      <x:c r="C65" s="140" t="str">
        <x:v>PENDING</x:v>
      </x:c>
      <x:c r="D65" s="140" t="str">
        <x:v>Current member engine is uniform-load only; point-load cases will be added.</x:v>
      </x:c>
      <x:c r="E65" s="140"/>
      <x:c r="F65" s="140"/>
      <x:c r="G65" s="140"/>
      <x:c r="H65" s="140"/>
      <x:c r="I65" s="140"/>
      <x:c r="J65" s="140"/>
      <x:c r="K65" s="140"/>
      <x:c r="L65" s="140"/>
      <x:c r="M65" s="140"/>
      <x:c r="N65" s="140"/>
      <x:c r="O65" s="140"/>
      <x:c r="P65" s="140"/>
      <x:c r="Q65" s="140"/>
      <x:c r="R65" s="140"/>
    </x:row>
    <x:row r="66" ht="34" customHeight="1">
      <x:c r="B66" s="140" t="str">
        <x:v>Multi-ply / built-up members</x:v>
      </x:c>
      <x:c r="C66" s="140" t="str">
        <x:v>PENDING</x:v>
      </x:c>
      <x:c r="D66" s="140" t="str">
        <x:v>Connection/load-sharing design will be integrated with the connection module.</x:v>
      </x:c>
      <x:c r="E66" s="140"/>
      <x:c r="F66" s="140"/>
      <x:c r="G66" s="140"/>
      <x:c r="H66" s="140"/>
      <x:c r="I66" s="140"/>
      <x:c r="J66" s="140"/>
      <x:c r="K66" s="140"/>
      <x:c r="L66" s="140"/>
      <x:c r="M66" s="140"/>
      <x:c r="N66" s="140"/>
      <x:c r="O66" s="140"/>
      <x:c r="P66" s="140"/>
      <x:c r="Q66" s="140"/>
      <x:c r="R66" s="140"/>
    </x:row>
    <x:row r="67" ht="34" customHeight="1">
      <x:c r="B67" s="140" t="str">
        <x:v>Fire / durability / treatment</x:v>
      </x:c>
      <x:c r="C67" s="140" t="str">
        <x:v>REVIEW</x:v>
      </x:c>
      <x:c r="D67" s="140" t="str">
        <x:v>Project-specific conditions must be captured in material/source records.</x:v>
      </x:c>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B26:G26"/>
    <x:mergeCell ref="B42:H42"/>
    <x:mergeCell ref="B49:I49"/>
    <x:mergeCell ref="B60:H60"/>
    <x:mergeCell ref="M2:R2"/>
    <x:mergeCell ref="H6:J6"/>
    <x:mergeCell ref="M13:R14"/>
    <x:mergeCell ref="D61:H61"/>
    <x:mergeCell ref="D62:H62"/>
    <x:mergeCell ref="D63:H63"/>
    <x:mergeCell ref="D64:H64"/>
    <x:mergeCell ref="D65:H65"/>
    <x:mergeCell ref="D66:H66"/>
    <x:mergeCell ref="D67:H67"/>
  </x:mergeCells>
  <x:conditionalFormatting sqref="F8:F24">
    <x:cfRule type="expression" dxfId="50" priority="1">
      <x:formula>F8="PASS"</x:formula>
    </x:cfRule>
    <x:cfRule type="cellIs" dxfId="51" priority="2">
      <x:formula>"FAIL"</x:formula>
    </x:cfRule>
  </x:conditionalFormatting>
  <x:conditionalFormatting sqref="G28:G40">
    <x:cfRule type="expression" dxfId="52" priority="3">
      <x:formula>G28="PASS"</x:formula>
    </x:cfRule>
    <x:cfRule type="cellIs" dxfId="53" priority="4">
      <x:formula>"FAIL"</x:formula>
    </x:cfRule>
  </x:conditionalFormatting>
  <x:conditionalFormatting sqref="H44:H47">
    <x:cfRule type="expression" dxfId="54" priority="5">
      <x:formula>H44="PASS"</x:formula>
    </x:cfRule>
    <x:cfRule type="cellIs" dxfId="55" priority="6">
      <x:formula>"FAIL"</x:formula>
    </x:cfRule>
  </x:conditionalFormatting>
  <x:conditionalFormatting sqref="H51:H58">
    <x:cfRule type="expression" dxfId="56" priority="7">
      <x:formula>H51="PASS"</x:formula>
    </x:cfRule>
    <x:cfRule type="cellIs" dxfId="57" priority="8">
      <x:formula>"FAIL"</x:formula>
    </x:cfRule>
  </x:conditionalFormatting>
  <x:conditionalFormatting sqref="I7:I12">
    <x:cfRule type="expression" dxfId="58" priority="9">
      <x:formula>I7="PASS"</x:formula>
    </x:cfRule>
    <x:cfRule type="cellIs" dxfId="59" priority="10">
      <x:formula>"FAIL"</x:formula>
    </x:cfRule>
  </x:conditionalFormatting>
  <x:conditionalFormatting sqref="R4:R11">
    <x:cfRule type="expression" dxfId="60" priority="11">
      <x:formula>R4="PASS"</x:formula>
    </x:cfRule>
    <x:cfRule type="cellIs" dxfId="61" priority="12">
      <x:formula>"FAIL"</x:formula>
    </x:cfRule>
  </x:conditionalFormatting>
  <x:conditionalFormatting sqref="C62:C67">
    <x:cfRule type="expression" dxfId="62" priority="13">
      <x:formula>C62="PASS"</x:formula>
    </x:cfRule>
    <x:cfRule type="cellIs" dxfId="63" priority="14">
      <x:formula>"FAIL"</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2" max="2" width="10" hidden="0" customWidth="1"/>
    <x:col min="3" max="3" width="24" hidden="0" customWidth="1"/>
    <x:col min="4" max="4" width="32" hidden="0" customWidth="1"/>
    <x:col min="5" max="5" width="16" hidden="0" customWidth="1"/>
    <x:col min="6" max="6" width="22" hidden="0" customWidth="1"/>
    <x:col min="7" max="7" width="24" hidden="0" customWidth="1"/>
    <x:col min="8" max="8" width="22" hidden="0" customWidth="1"/>
  </x:cols>
  <x:sheetData>
    <x:row r="1">
      <x:c r="B1" s="140"/>
      <x:c r="C1" s="140"/>
      <x:c r="D1" s="140"/>
      <x:c r="E1" s="140"/>
      <x:c r="F1" s="140"/>
      <x:c r="G1" s="140"/>
      <x:c r="H1" s="140"/>
    </x:row>
    <x:row r="2">
      <x:c r="B2" s="359" t="str">
        <x:v>LONGHAND CALCULATION — WOOD BEAM / HEADER</x:v>
      </x:c>
      <x:c r="C2" s="359"/>
      <x:c r="D2" s="359"/>
      <x:c r="E2" s="359"/>
      <x:c r="F2" s="359"/>
      <x:c r="G2" s="359"/>
      <x:c r="H2" s="359"/>
    </x:row>
    <x:row r="3">
      <x:c r="B3" s="140"/>
      <x:c r="C3" s="140"/>
      <x:c r="D3" s="140"/>
      <x:c r="E3" s="140"/>
      <x:c r="F3" s="140"/>
      <x:c r="G3" s="140"/>
      <x:c r="H3" s="140"/>
    </x:row>
    <x:row r="4">
      <x:c r="B4" s="358" t="str">
        <x:v>Printable audit trail. Each line shows the equation and workbook result; source-controlled NDS reference values and factors remain visible rather than being hidden in the formula.</x:v>
      </x:c>
      <x:c r="C4" s="358"/>
      <x:c r="D4" s="358"/>
      <x:c r="E4" s="358"/>
      <x:c r="F4" s="358"/>
      <x:c r="G4" s="358"/>
      <x:c r="H4" s="358"/>
    </x:row>
    <x:row r="5">
      <x:c r="B5" s="140"/>
      <x:c r="C5" s="140"/>
      <x:c r="D5" s="140"/>
      <x:c r="E5" s="140"/>
      <x:c r="F5" s="140"/>
      <x:c r="G5" s="140"/>
      <x:c r="H5" s="140"/>
    </x:row>
    <x:row r="6">
      <x:c r="B6" s="354" t="str">
        <x:v>Step</x:v>
      </x:c>
      <x:c r="C6" s="354" t="str">
        <x:v>Quantity</x:v>
      </x:c>
      <x:c r="D6" s="354" t="str">
        <x:v>Equation / Substitution</x:v>
      </x:c>
      <x:c r="E6" s="354" t="str">
        <x:v>Result</x:v>
      </x:c>
      <x:c r="F6" s="354" t="str">
        <x:v>Unit</x:v>
      </x:c>
      <x:c r="G6" s="354" t="str">
        <x:v>Source / Basis</x:v>
      </x:c>
      <x:c r="H6" s="354" t="str">
        <x:v>Check</x:v>
      </x:c>
    </x:row>
    <x:row r="7">
      <x:c r="B7" s="140" t="n">
        <x:v>1</x:v>
      </x:c>
      <x:c r="C7" s="140" t="str">
        <x:v>Area</x:v>
      </x:c>
      <x:c r="D7" s="140" t="str">
        <x:v>A = b·d</x:v>
      </x:c>
      <x:c r="E7" s="239" t="str">
        <x:f>IF('20_WOOD_BEAM'!C28="","",'20_WOOD_BEAM'!C28)</x:f>
      </x:c>
      <x:c r="F7" s="140" t="str">
        <x:v>in²</x:v>
      </x:c>
      <x:c r="G7" s="140" t="str">
        <x:v>Geometry</x:v>
      </x:c>
      <x:c r="H7" s="140" t="str">
        <x:f>IF('20_WOOD_BEAM'!G28="","",'20_WOOD_BEAM'!G28)</x:f>
      </x:c>
    </x:row>
    <x:row r="8">
      <x:c r="B8" s="140" t="n">
        <x:v>2</x:v>
      </x:c>
      <x:c r="C8" s="140" t="str">
        <x:v>Section modulus</x:v>
      </x:c>
      <x:c r="D8" s="140" t="str">
        <x:v>S = b·d²/6</x:v>
      </x:c>
      <x:c r="E8" s="239" t="str">
        <x:f>IF('20_WOOD_BEAM'!C29="","",'20_WOOD_BEAM'!C29)</x:f>
      </x:c>
      <x:c r="F8" s="140" t="str">
        <x:v>in³</x:v>
      </x:c>
      <x:c r="G8" s="140" t="str">
        <x:v>Geometry</x:v>
      </x:c>
      <x:c r="H8" s="140" t="str">
        <x:f>IF('20_WOOD_BEAM'!G29="","",'20_WOOD_BEAM'!G29)</x:f>
      </x:c>
    </x:row>
    <x:row r="9">
      <x:c r="B9" s="140" t="n">
        <x:v>3</x:v>
      </x:c>
      <x:c r="C9" s="140" t="str">
        <x:v>Moment of inertia</x:v>
      </x:c>
      <x:c r="D9" s="140" t="str">
        <x:v>I = b·d³/12</x:v>
      </x:c>
      <x:c r="E9" s="239" t="str">
        <x:f>IF('20_WOOD_BEAM'!C30="","",'20_WOOD_BEAM'!C30)</x:f>
      </x:c>
      <x:c r="F9" s="140" t="str">
        <x:v>in⁴</x:v>
      </x:c>
      <x:c r="G9" s="140" t="str">
        <x:v>Geometry</x:v>
      </x:c>
      <x:c r="H9" s="140" t="str">
        <x:f>IF('20_WOOD_BEAM'!G30="","",'20_WOOD_BEAM'!G30)</x:f>
      </x:c>
    </x:row>
    <x:row r="10">
      <x:c r="B10" s="140" t="n">
        <x:v>4</x:v>
      </x:c>
      <x:c r="C10" s="140" t="str">
        <x:v>Dead line load</x:v>
      </x:c>
      <x:c r="D10" s="140" t="str">
        <x:v>wD = qD·tributary width</x:v>
      </x:c>
      <x:c r="E10" s="239" t="str">
        <x:f>IF('20_WOOD_BEAM'!C31="","",'20_WOOD_BEAM'!C31)</x:f>
      </x:c>
      <x:c r="F10" s="140" t="str">
        <x:v>plf</x:v>
      </x:c>
      <x:c r="G10" s="140" t="str">
        <x:v>Load path</x:v>
      </x:c>
      <x:c r="H10" s="140" t="str">
        <x:f>IF('20_WOOD_BEAM'!G31="","",'20_WOOD_BEAM'!G31)</x:f>
      </x:c>
    </x:row>
    <x:row r="11">
      <x:c r="B11" s="140" t="n">
        <x:v>5</x:v>
      </x:c>
      <x:c r="C11" s="140" t="str">
        <x:v>Live line load</x:v>
      </x:c>
      <x:c r="D11" s="140" t="str">
        <x:v>wL = qL·tributary width</x:v>
      </x:c>
      <x:c r="E11" s="239" t="str">
        <x:f>IF('20_WOOD_BEAM'!C32="","",'20_WOOD_BEAM'!C32)</x:f>
      </x:c>
      <x:c r="F11" s="140" t="str">
        <x:v>plf</x:v>
      </x:c>
      <x:c r="G11" s="140" t="str">
        <x:v>Load path</x:v>
      </x:c>
      <x:c r="H11" s="140" t="str">
        <x:f>IF('20_WOOD_BEAM'!G32="","",'20_WOOD_BEAM'!G32)</x:f>
      </x:c>
    </x:row>
    <x:row r="12">
      <x:c r="B12" s="140" t="n">
        <x:v>6</x:v>
      </x:c>
      <x:c r="C12" s="140" t="str">
        <x:v>Maximum reaction</x:v>
      </x:c>
      <x:c r="D12" s="140" t="str">
        <x:v>R = (wD+wL)L/2</x:v>
      </x:c>
      <x:c r="E12" s="239" t="str">
        <x:f>IF('20_WOOD_BEAM'!C34="","",'20_WOOD_BEAM'!C34)</x:f>
      </x:c>
      <x:c r="F12" s="140" t="str">
        <x:v>lb</x:v>
      </x:c>
      <x:c r="G12" s="140" t="str">
        <x:v>Statics</x:v>
      </x:c>
      <x:c r="H12" s="140" t="str">
        <x:f>IF('20_WOOD_BEAM'!G34="","",'20_WOOD_BEAM'!G34)</x:f>
      </x:c>
    </x:row>
    <x:row r="13">
      <x:c r="B13" s="140" t="n">
        <x:v>7</x:v>
      </x:c>
      <x:c r="C13" s="140" t="str">
        <x:v>Maximum moment</x:v>
      </x:c>
      <x:c r="D13" s="140" t="str">
        <x:v>M = (wD+wL)L²/8</x:v>
      </x:c>
      <x:c r="E13" s="239" t="str">
        <x:f>IF('20_WOOD_BEAM'!C35="","",'20_WOOD_BEAM'!C35)</x:f>
      </x:c>
      <x:c r="F13" s="140" t="str">
        <x:v>ft-lb</x:v>
      </x:c>
      <x:c r="G13" s="140" t="str">
        <x:v>Statics</x:v>
      </x:c>
      <x:c r="H13" s="140" t="str">
        <x:f>IF('20_WOOD_BEAM'!G35="","",'20_WOOD_BEAM'!G35)</x:f>
      </x:c>
    </x:row>
    <x:row r="14">
      <x:c r="B14" s="140" t="n">
        <x:v>8</x:v>
      </x:c>
      <x:c r="C14" s="140" t="str">
        <x:v>Adjusted bending value</x:v>
      </x:c>
      <x:c r="D14" s="140" t="str">
        <x:v>Fb′ = Fb·CD·CM·Ct·CF·Cfu·Cr·CL</x:v>
      </x:c>
      <x:c r="E14" s="239" t="str">
        <x:f>IF('20_WOOD_BEAM'!E44="","",'20_WOOD_BEAM'!E44)</x:f>
      </x:c>
      <x:c r="F14" s="140" t="str">
        <x:v>psi</x:v>
      </x:c>
      <x:c r="G14" s="140" t="str">
        <x:v>NDS 2024 / selected factors</x:v>
      </x:c>
      <x:c r="H14" s="140" t="str">
        <x:f>IF('20_WOOD_BEAM'!H44="","",'20_WOOD_BEAM'!H44)</x:f>
        <x:v>PENDING</x:v>
      </x:c>
    </x:row>
    <x:row r="15">
      <x:c r="B15" s="140" t="n">
        <x:v>9</x:v>
      </x:c>
      <x:c r="C15" s="140" t="str">
        <x:v>Bending stress</x:v>
      </x:c>
      <x:c r="D15" s="140" t="str">
        <x:v>fb = M·12/S</x:v>
      </x:c>
      <x:c r="E15" s="239" t="str">
        <x:f>IF('20_WOOD_BEAM'!C51="","",'20_WOOD_BEAM'!C51)</x:f>
      </x:c>
      <x:c r="F15" s="140" t="str">
        <x:v>psi</x:v>
      </x:c>
      <x:c r="G15" s="140" t="str">
        <x:v>Flexure</x:v>
      </x:c>
      <x:c r="H15" s="140" t="str">
        <x:f>IF('20_WOOD_BEAM'!H51="","",'20_WOOD_BEAM'!H51)</x:f>
        <x:v>PENDING</x:v>
      </x:c>
    </x:row>
    <x:row r="16">
      <x:c r="B16" s="140" t="n">
        <x:v>10</x:v>
      </x:c>
      <x:c r="C16" s="140" t="str">
        <x:v>Bending utilization</x:v>
      </x:c>
      <x:c r="D16" s="140" t="str">
        <x:v>fb/Fb′</x:v>
      </x:c>
      <x:c r="E16" s="239" t="str">
        <x:f>IF('20_WOOD_BEAM'!G51="","",'20_WOOD_BEAM'!G51)</x:f>
      </x:c>
      <x:c r="F16" s="140"/>
      <x:c r="G16" s="140" t="str">
        <x:v>Capacity check</x:v>
      </x:c>
      <x:c r="H16" s="140" t="str">
        <x:f>IF('20_WOOD_BEAM'!H51="","",'20_WOOD_BEAM'!H51)</x:f>
        <x:v>PENDING</x:v>
      </x:c>
    </x:row>
    <x:row r="17">
      <x:c r="B17" s="140" t="n">
        <x:v>11</x:v>
      </x:c>
      <x:c r="C17" s="140" t="str">
        <x:v>Adjusted shear value</x:v>
      </x:c>
      <x:c r="D17" s="140" t="str">
        <x:v>Fv′ = Fv·CD·CM·Ct</x:v>
      </x:c>
      <x:c r="E17" s="239" t="str">
        <x:f>IF('20_WOOD_BEAM'!E45="","",'20_WOOD_BEAM'!E45)</x:f>
      </x:c>
      <x:c r="F17" s="140" t="str">
        <x:v>psi</x:v>
      </x:c>
      <x:c r="G17" s="140" t="str">
        <x:v>NDS 2024 / selected factors</x:v>
      </x:c>
      <x:c r="H17" s="140" t="str">
        <x:f>IF('20_WOOD_BEAM'!H45="","",'20_WOOD_BEAM'!H45)</x:f>
        <x:v>PENDING</x:v>
      </x:c>
    </x:row>
    <x:row r="18">
      <x:c r="B18" s="140" t="n">
        <x:v>12</x:v>
      </x:c>
      <x:c r="C18" s="140" t="str">
        <x:v>Shear stress</x:v>
      </x:c>
      <x:c r="D18" s="140" t="str">
        <x:v>fv = 1.5V/(bd)</x:v>
      </x:c>
      <x:c r="E18" s="239" t="str">
        <x:f>IF('20_WOOD_BEAM'!C52="","",'20_WOOD_BEAM'!C52)</x:f>
      </x:c>
      <x:c r="F18" s="140" t="str">
        <x:v>psi</x:v>
      </x:c>
      <x:c r="G18" s="140" t="str">
        <x:v>Conservative rectangular-section check</x:v>
      </x:c>
      <x:c r="H18" s="140" t="str">
        <x:f>IF('20_WOOD_BEAM'!H52="","",'20_WOOD_BEAM'!H52)</x:f>
        <x:v>PENDING</x:v>
      </x:c>
    </x:row>
    <x:row r="19">
      <x:c r="B19" s="140" t="n">
        <x:v>13</x:v>
      </x:c>
      <x:c r="C19" s="140" t="str">
        <x:v>Shear utilization</x:v>
      </x:c>
      <x:c r="D19" s="140" t="str">
        <x:v>fv/Fv′</x:v>
      </x:c>
      <x:c r="E19" s="239" t="str">
        <x:f>IF('20_WOOD_BEAM'!G52="","",'20_WOOD_BEAM'!G52)</x:f>
      </x:c>
      <x:c r="F19" s="140"/>
      <x:c r="G19" s="140" t="str">
        <x:v>Capacity check</x:v>
      </x:c>
      <x:c r="H19" s="140" t="str">
        <x:f>IF('20_WOOD_BEAM'!H52="","",'20_WOOD_BEAM'!H52)</x:f>
        <x:v>PENDING</x:v>
      </x:c>
    </x:row>
    <x:row r="20">
      <x:c r="B20" s="140" t="n">
        <x:v>14</x:v>
      </x:c>
      <x:c r="C20" s="140" t="str">
        <x:v>Adjusted bearing value</x:v>
      </x:c>
      <x:c r="D20" s="140" t="str">
        <x:v>Fc⊥′ = Fc⊥·CM·Ct·Cb</x:v>
      </x:c>
      <x:c r="E20" s="239" t="str">
        <x:f>IF('20_WOOD_BEAM'!E46="","",'20_WOOD_BEAM'!E46)</x:f>
      </x:c>
      <x:c r="F20" s="140" t="str">
        <x:v>psi</x:v>
      </x:c>
      <x:c r="G20" s="140" t="str">
        <x:v>NDS 2024 / selected factors</x:v>
      </x:c>
      <x:c r="H20" s="140" t="str">
        <x:f>IF('20_WOOD_BEAM'!H46="","",'20_WOOD_BEAM'!H46)</x:f>
        <x:v>PENDING</x:v>
      </x:c>
    </x:row>
    <x:row r="21">
      <x:c r="B21" s="140" t="n">
        <x:v>15</x:v>
      </x:c>
      <x:c r="C21" s="140" t="str">
        <x:v>Left bearing stress</x:v>
      </x:c>
      <x:c r="D21" s="140" t="str">
        <x:v>fc⊥ = R/(b·lb,L)</x:v>
      </x:c>
      <x:c r="E21" s="239" t="str">
        <x:f>IF('20_WOOD_BEAM'!C53="","",'20_WOOD_BEAM'!C53)</x:f>
      </x:c>
      <x:c r="F21" s="140" t="str">
        <x:v>psi</x:v>
      </x:c>
      <x:c r="G21" s="140" t="str">
        <x:v>Bearing check</x:v>
      </x:c>
      <x:c r="H21" s="140" t="str">
        <x:f>IF('20_WOOD_BEAM'!H53="","",'20_WOOD_BEAM'!H53)</x:f>
        <x:v>PENDING</x:v>
      </x:c>
    </x:row>
    <x:row r="22">
      <x:c r="B22" s="140" t="n">
        <x:v>16</x:v>
      </x:c>
      <x:c r="C22" s="140" t="str">
        <x:v>Right bearing stress</x:v>
      </x:c>
      <x:c r="D22" s="140" t="str">
        <x:v>fc⊥ = R/(b·lb,R)</x:v>
      </x:c>
      <x:c r="E22" s="239" t="str">
        <x:f>IF('20_WOOD_BEAM'!C54="","",'20_WOOD_BEAM'!C54)</x:f>
      </x:c>
      <x:c r="F22" s="140" t="str">
        <x:v>psi</x:v>
      </x:c>
      <x:c r="G22" s="140" t="str">
        <x:v>Bearing check</x:v>
      </x:c>
      <x:c r="H22" s="140" t="str">
        <x:f>IF('20_WOOD_BEAM'!H54="","",'20_WOOD_BEAM'!H54)</x:f>
        <x:v>PENDING</x:v>
      </x:c>
    </x:row>
    <x:row r="23">
      <x:c r="B23" s="140" t="n">
        <x:v>17</x:v>
      </x:c>
      <x:c r="C23" s="140" t="str">
        <x:v>Adjusted modulus</x:v>
      </x:c>
      <x:c r="D23" s="140" t="str">
        <x:v>E′ = E·CM·Ct</x:v>
      </x:c>
      <x:c r="E23" s="239" t="str">
        <x:f>IF('20_WOOD_BEAM'!E47="","",'20_WOOD_BEAM'!E47)</x:f>
      </x:c>
      <x:c r="F23" s="140" t="str">
        <x:v>psi</x:v>
      </x:c>
      <x:c r="G23" s="140" t="str">
        <x:v>NDS 2024 / selected factors</x:v>
      </x:c>
      <x:c r="H23" s="140" t="str">
        <x:f>IF('20_WOOD_BEAM'!H47="","",'20_WOOD_BEAM'!H47)</x:f>
        <x:v>PENDING</x:v>
      </x:c>
    </x:row>
    <x:row r="24">
      <x:c r="B24" s="140" t="n">
        <x:v>18</x:v>
      </x:c>
      <x:c r="C24" s="140" t="str">
        <x:v>Live deflection</x:v>
      </x:c>
      <x:c r="D24" s="140" t="str">
        <x:v>ΔL = 5wLL⁴/(384E′I)</x:v>
      </x:c>
      <x:c r="E24" s="239" t="str">
        <x:f>IF('20_WOOD_BEAM'!C37="","",'20_WOOD_BEAM'!C37)</x:f>
      </x:c>
      <x:c r="F24" s="140" t="str">
        <x:v>in</x:v>
      </x:c>
      <x:c r="G24" s="140" t="str">
        <x:v>Elastic beam theory</x:v>
      </x:c>
      <x:c r="H24" s="140" t="str">
        <x:f>IF('20_WOOD_BEAM'!H55="","",'20_WOOD_BEAM'!H55)</x:f>
        <x:v>PENDING</x:v>
      </x:c>
    </x:row>
    <x:row r="25">
      <x:c r="B25" s="140" t="n">
        <x:v>19</x:v>
      </x:c>
      <x:c r="C25" s="140" t="str">
        <x:v>Total deflection</x:v>
      </x:c>
      <x:c r="D25" s="140" t="str">
        <x:v>ΔT = ΔD + ΔL</x:v>
      </x:c>
      <x:c r="E25" s="239" t="str">
        <x:f>IF('20_WOOD_BEAM'!C38="","",'20_WOOD_BEAM'!C38)</x:f>
      </x:c>
      <x:c r="F25" s="140" t="str">
        <x:v>in</x:v>
      </x:c>
      <x:c r="G25" s="140" t="str">
        <x:v>Elastic beam theory</x:v>
      </x:c>
      <x:c r="H25" s="140" t="str">
        <x:f>IF('20_WOOD_BEAM'!H56="","",'20_WOOD_BEAM'!H56)</x:f>
        <x:v>PENDING</x:v>
      </x:c>
    </x:row>
    <x:row r="26">
      <x:c r="B26" s="140" t="n">
        <x:v>20</x:v>
      </x:c>
      <x:c r="C26" s="140" t="str">
        <x:v>Live deflection check</x:v>
      </x:c>
      <x:c r="D26" s="140" t="str">
        <x:v>ΔL / (L/live limit)</x:v>
      </x:c>
      <x:c r="E26" s="239" t="str">
        <x:f>IF('20_WOOD_BEAM'!G55="","",'20_WOOD_BEAM'!G55)</x:f>
      </x:c>
      <x:c r="F26" s="140"/>
      <x:c r="G26" s="140" t="str">
        <x:v>Serviceability</x:v>
      </x:c>
      <x:c r="H26" s="140" t="str">
        <x:f>IF('20_WOOD_BEAM'!H55="","",'20_WOOD_BEAM'!H55)</x:f>
        <x:v>PENDING</x:v>
      </x:c>
    </x:row>
    <x:row r="27">
      <x:c r="B27" s="140" t="n">
        <x:v>21</x:v>
      </x:c>
      <x:c r="C27" s="140" t="str">
        <x:v>Total deflection check</x:v>
      </x:c>
      <x:c r="D27" s="140" t="str">
        <x:v>ΔT / (L/total limit)</x:v>
      </x:c>
      <x:c r="E27" s="239" t="str">
        <x:f>IF('20_WOOD_BEAM'!G56="","",'20_WOOD_BEAM'!G56)</x:f>
      </x:c>
      <x:c r="F27" s="140"/>
      <x:c r="G27" s="140" t="str">
        <x:v>Serviceability</x:v>
      </x:c>
      <x:c r="H27" s="140" t="str">
        <x:f>IF('20_WOOD_BEAM'!H56="","",'20_WOOD_BEAM'!H56)</x:f>
        <x:v>PENDING</x:v>
      </x:c>
    </x:row>
    <x:row r="28">
      <x:c r="B28" s="140" t="n">
        <x:v>22</x:v>
      </x:c>
      <x:c r="C28" s="140" t="str">
        <x:v>Overall utilization</x:v>
      </x:c>
      <x:c r="D28" s="140" t="str">
        <x:v>max(completed D/C ratios)</x:v>
      </x:c>
      <x:c r="E28" s="239" t="str">
        <x:f>IF('20_WOOD_BEAM'!G57="","",'20_WOOD_BEAM'!G57)</x:f>
      </x:c>
      <x:c r="F28" s="140"/>
      <x:c r="G28" s="140" t="str">
        <x:v>Summary</x:v>
      </x:c>
      <x:c r="H28" s="140" t="str">
        <x:f>IF('20_WOOD_BEAM'!H57="","",'20_WOOD_BEAM'!H57)</x:f>
        <x:v>PENDING</x:v>
      </x:c>
    </x:row>
    <x:row r="29">
      <x:c r="B29" s="140"/>
      <x:c r="C29" s="140"/>
      <x:c r="D29" s="140"/>
      <x:c r="E29" s="140"/>
      <x:c r="F29" s="140"/>
      <x:c r="G29" s="140"/>
      <x:c r="H29" s="140"/>
    </x:row>
    <x:row r="30">
      <x:c r="B30" s="353" t="str">
        <x:v>INPUT / SOURCE SUBSTITUTION RECORD</x:v>
      </x:c>
      <x:c r="C30" s="353"/>
      <x:c r="D30" s="353"/>
      <x:c r="E30" s="353"/>
      <x:c r="F30" s="353"/>
      <x:c r="G30" s="353"/>
      <x:c r="H30" s="353"/>
    </x:row>
    <x:row r="31">
      <x:c r="B31" s="354" t="str">
        <x:v>Variable</x:v>
      </x:c>
      <x:c r="C31" s="354" t="str">
        <x:v>Meaning</x:v>
      </x:c>
      <x:c r="D31" s="354" t="str">
        <x:v>Value</x:v>
      </x:c>
      <x:c r="E31" s="354" t="str">
        <x:v>Unit</x:v>
      </x:c>
      <x:c r="F31" s="354" t="str">
        <x:v>Workbook Source</x:v>
      </x:c>
      <x:c r="G31" s="354" t="str">
        <x:v>Origin Class</x:v>
      </x:c>
      <x:c r="H31" s="354" t="str">
        <x:v>Source Record</x:v>
      </x:c>
    </x:row>
    <x:row r="32">
      <x:c r="B32" s="140" t="str">
        <x:v>L</x:v>
      </x:c>
      <x:c r="C32" s="140" t="str">
        <x:v>Span</x:v>
      </x:c>
      <x:c r="D32" s="140" t="str">
        <x:f>IF('01_INPUTS'!C30="","",'01_INPUTS'!C30)</x:f>
      </x:c>
      <x:c r="E32" s="140" t="str">
        <x:v>ft</x:v>
      </x:c>
      <x:c r="F32" s="140" t="str">
        <x:v>01_INPUTS!C30</x:v>
      </x:c>
      <x:c r="G32" s="140" t="str">
        <x:v>Project</x:v>
      </x:c>
      <x:c r="H32" s="140" t="str">
        <x:v>Project drawings</x:v>
      </x:c>
    </x:row>
    <x:row r="33">
      <x:c r="B33" s="140" t="str">
        <x:v>trib</x:v>
      </x:c>
      <x:c r="C33" s="140" t="str">
        <x:v>Tributary width</x:v>
      </x:c>
      <x:c r="D33" s="140" t="str">
        <x:f>IF('01_INPUTS'!C31="","",'01_INPUTS'!C31)</x:f>
      </x:c>
      <x:c r="E33" s="140" t="str">
        <x:v>ft</x:v>
      </x:c>
      <x:c r="F33" s="140" t="str">
        <x:v>01_INPUTS!C31</x:v>
      </x:c>
      <x:c r="G33" s="140" t="str">
        <x:v>Project / geometry</x:v>
      </x:c>
      <x:c r="H33" s="140" t="str">
        <x:v>Project model</x:v>
      </x:c>
    </x:row>
    <x:row r="34">
      <x:c r="B34" s="140" t="str">
        <x:v>b</x:v>
      </x:c>
      <x:c r="C34" s="140" t="str">
        <x:v>Actual width</x:v>
      </x:c>
      <x:c r="D34" s="140" t="str">
        <x:f>IF('01_INPUTS'!C32="","",'01_INPUTS'!C32)</x:f>
      </x:c>
      <x:c r="E34" s="140" t="str">
        <x:v>in</x:v>
      </x:c>
      <x:c r="F34" s="140" t="str">
        <x:v>01_INPUTS!C32</x:v>
      </x:c>
      <x:c r="G34" s="140" t="str">
        <x:v>Project / material</x:v>
      </x:c>
      <x:c r="H34" s="140" t="str">
        <x:v>Member selection</x:v>
      </x:c>
    </x:row>
    <x:row r="35">
      <x:c r="B35" s="140" t="str">
        <x:v>d</x:v>
      </x:c>
      <x:c r="C35" s="140" t="str">
        <x:v>Actual depth</x:v>
      </x:c>
      <x:c r="D35" s="140" t="str">
        <x:f>IF('01_INPUTS'!C33="","",'01_INPUTS'!C33)</x:f>
      </x:c>
      <x:c r="E35" s="140" t="str">
        <x:v>in</x:v>
      </x:c>
      <x:c r="F35" s="140" t="str">
        <x:v>01_INPUTS!C33</x:v>
      </x:c>
      <x:c r="G35" s="140" t="str">
        <x:v>Project / material</x:v>
      </x:c>
      <x:c r="H35" s="140" t="str">
        <x:v>Member selection</x:v>
      </x:c>
    </x:row>
    <x:row r="36">
      <x:c r="B36" s="140" t="str">
        <x:v>Fb</x:v>
      </x:c>
      <x:c r="C36" s="140" t="str">
        <x:v>Reference bending value</x:v>
      </x:c>
      <x:c r="D36" s="140" t="str">
        <x:f>IF('01_INPUTS'!C61="","",'01_INPUTS'!C61)</x:f>
      </x:c>
      <x:c r="E36" s="140" t="str">
        <x:v>psi</x:v>
      </x:c>
      <x:c r="F36" s="140" t="str">
        <x:v>01_INPUTS!C61</x:v>
      </x:c>
      <x:c r="G36" s="140" t="str">
        <x:v>Code / table</x:v>
      </x:c>
      <x:c r="H36" s="140" t="str">
        <x:v>01_INPUTS!C140</x:v>
      </x:c>
    </x:row>
    <x:row r="37">
      <x:c r="B37" s="140" t="str">
        <x:v>Fv</x:v>
      </x:c>
      <x:c r="C37" s="140" t="str">
        <x:v>Reference shear value</x:v>
      </x:c>
      <x:c r="D37" s="140" t="str">
        <x:f>IF('01_INPUTS'!C62="","",'01_INPUTS'!C62)</x:f>
      </x:c>
      <x:c r="E37" s="140" t="str">
        <x:v>psi</x:v>
      </x:c>
      <x:c r="F37" s="140" t="str">
        <x:v>01_INPUTS!C62</x:v>
      </x:c>
      <x:c r="G37" s="140" t="str">
        <x:v>Code / table</x:v>
      </x:c>
      <x:c r="H37" s="140" t="str">
        <x:v>01_INPUTS!C140</x:v>
      </x:c>
    </x:row>
    <x:row r="38">
      <x:c r="B38" s="140" t="str">
        <x:v>Fc⊥</x:v>
      </x:c>
      <x:c r="C38" s="140" t="str">
        <x:v>Reference bearing value</x:v>
      </x:c>
      <x:c r="D38" s="140" t="str">
        <x:f>IF('01_INPUTS'!C63="","",'01_INPUTS'!C63)</x:f>
      </x:c>
      <x:c r="E38" s="140" t="str">
        <x:v>psi</x:v>
      </x:c>
      <x:c r="F38" s="140" t="str">
        <x:v>01_INPUTS!C63</x:v>
      </x:c>
      <x:c r="G38" s="140" t="str">
        <x:v>Code / table</x:v>
      </x:c>
      <x:c r="H38" s="140" t="str">
        <x:v>01_INPUTS!C140</x:v>
      </x:c>
    </x:row>
    <x:row r="39">
      <x:c r="B39" s="140" t="str">
        <x:v>E</x:v>
      </x:c>
      <x:c r="C39" s="140" t="str">
        <x:v>Reference modulus</x:v>
      </x:c>
      <x:c r="D39" s="140" t="str">
        <x:f>IF('01_INPUTS'!C60="","",'01_INPUTS'!C60)</x:f>
      </x:c>
      <x:c r="E39" s="140" t="str">
        <x:v>psi</x:v>
      </x:c>
      <x:c r="F39" s="140" t="str">
        <x:v>01_INPUTS!C60</x:v>
      </x:c>
      <x:c r="G39" s="140" t="str">
        <x:v>Code / table</x:v>
      </x:c>
      <x:c r="H39" s="140" t="str">
        <x:v>01_INPUTS!C140</x:v>
      </x:c>
    </x:row>
    <x:row r="40">
      <x:c r="B40" s="140" t="str">
        <x:v>CD</x:v>
      </x:c>
      <x:c r="C40" s="140" t="str">
        <x:v>Load duration factor</x:v>
      </x:c>
      <x:c r="D40" s="140" t="str">
        <x:f>IF('01_INPUTS'!C126="","",'01_INPUTS'!C126)</x:f>
      </x:c>
      <x:c r="E40" s="140"/>
      <x:c r="F40" s="140" t="str">
        <x:v>01_INPUTS!C126</x:v>
      </x:c>
      <x:c r="G40" s="140" t="str">
        <x:v>Code / table</x:v>
      </x:c>
      <x:c r="H40" s="140" t="str">
        <x:v>01_INPUTS!C141</x:v>
      </x:c>
    </x:row>
    <x:row r="41">
      <x:c r="B41" s="140" t="str">
        <x:v>CL</x:v>
      </x:c>
      <x:c r="C41" s="140" t="str">
        <x:v>Beam stability factor</x:v>
      </x:c>
      <x:c r="D41" s="140" t="str">
        <x:f>IF('01_INPUTS'!C138="","",'01_INPUTS'!C138)</x:f>
      </x:c>
      <x:c r="E41" s="140"/>
      <x:c r="F41" s="140" t="str">
        <x:v>01_INPUTS!C138</x:v>
      </x:c>
      <x:c r="G41" s="140" t="str">
        <x:v>Code / judgment</x:v>
      </x:c>
      <x:c r="H41" s="140" t="str">
        <x:v>01_INPUTS!C141</x:v>
      </x:c>
    </x:row>
    <x:row r="42">
      <x:c r="B42" s="140" t="str">
        <x:v>Cb</x:v>
      </x:c>
      <x:c r="C42" s="140" t="str">
        <x:v>Bearing area factor</x:v>
      </x:c>
      <x:c r="D42" s="140" t="str">
        <x:f>IF('01_INPUTS'!C139="","",'01_INPUTS'!C139)</x:f>
      </x:c>
      <x:c r="E42" s="140"/>
      <x:c r="F42" s="140" t="str">
        <x:v>01_INPUTS!C139</x:v>
      </x:c>
      <x:c r="G42" s="140" t="str">
        <x:v>Code / table</x:v>
      </x:c>
      <x:c r="H42" s="140" t="str">
        <x:v>01_INPUTS!C141</x:v>
      </x:c>
    </x:row>
    <x:row r="43">
      <x:c r="B43" s="140"/>
      <x:c r="C43" s="140"/>
      <x:c r="D43" s="140"/>
      <x:c r="E43" s="140"/>
      <x:c r="F43" s="140"/>
      <x:c r="G43" s="140"/>
      <x:c r="H43" s="140"/>
    </x:row>
    <x:row r="44">
      <x:c r="B44" s="361" t="str">
        <x:v>Scope note: current beam engine is uniform-load, rectangular-section ASD screening. Point loads, notches/holes, multi-ply behavior, and project-specific 2024 NDS shear provisions remain review-controlled until those modules are added.</x:v>
      </x:c>
      <x:c r="C44" s="361"/>
      <x:c r="D44" s="361"/>
      <x:c r="E44" s="361"/>
      <x:c r="F44" s="361"/>
      <x:c r="G44" s="361"/>
      <x:c r="H44" s="361"/>
    </x:row>
    <x:row r="45">
      <x:c r="B45" s="361"/>
      <x:c r="C45" s="361"/>
      <x:c r="D45" s="361"/>
      <x:c r="E45" s="361"/>
      <x:c r="F45" s="361"/>
      <x:c r="G45" s="361"/>
      <x:c r="H45" s="361"/>
    </x:row>
  </x:sheetData>
  <x:mergeCells>
    <x:mergeCell ref="B2:H2"/>
    <x:mergeCell ref="B4:H4"/>
    <x:mergeCell ref="B30:H30"/>
    <x:mergeCell ref="B44:H45"/>
  </x:mergeCells>
  <x:pageMargins left="0.7" right="0.7" top="0.75" bottom="0.75" header="0.3" footer="0.3"/>
</x:worksheet>
</file>

<file path=xl/worksheets/sheet26.xml><?xml version="1.0" encoding="utf-8"?>
<x:worksheet xmlns:x="http://schemas.openxmlformats.org/spreadsheetml/2006/main">
  <x:sheetFormatPr defaultRowHeight="15"/>
  <x:cols>
    <x:col min="1" max="1" width="3" hidden="0" customWidth="1"/>
    <x:col min="2" max="2" width="30" hidden="0" customWidth="1"/>
    <x:col min="3" max="3" width="17" hidden="0" customWidth="1"/>
    <x:col min="4" max="4" width="17" hidden="0" customWidth="1"/>
    <x:col min="5" max="5" width="11" hidden="0" customWidth="1"/>
    <x:col min="6" max="6" width="31" hidden="0" customWidth="1"/>
    <x:col min="7" max="7" width="25" hidden="0" customWidth="1"/>
    <x:col min="8" max="8" width="22" hidden="0" customWidth="1"/>
    <x:col min="9" max="9" width="15" hidden="0" customWidth="1"/>
    <x:col min="10" max="10" width="4" hidden="0" customWidth="1"/>
    <x:col min="11" max="11" width="4" hidden="0" customWidth="1"/>
    <x:col min="12" max="12" width="4" hidden="0" customWidth="1"/>
    <x:col min="13" max="13" width="18" hidden="0" customWidth="1"/>
    <x:col min="14" max="14" width="28" hidden="0" customWidth="1"/>
    <x:col min="15" max="15" width="16" hidden="0" customWidth="1"/>
    <x:col min="16" max="16" width="16" hidden="0" customWidth="1"/>
    <x:col min="17" max="17" width="14" hidden="0" customWidth="1"/>
    <x:col min="18" max="18" width="13" hidden="0" customWidth="1"/>
  </x:cols>
  <x:sheetData>
    <x:row r="1">
      <x:c r="A1" s="130"/>
      <x:c r="B1" s="130"/>
      <x:c r="C1" s="130"/>
      <x:c r="D1" s="130"/>
      <x:c r="E1" s="130"/>
      <x:c r="F1" s="130"/>
      <x:c r="G1" s="130"/>
      <x:c r="H1" s="130"/>
      <x:c r="I1" s="130"/>
      <x:c r="J1" s="130"/>
      <x:c r="K1" s="130"/>
      <x:c r="L1" s="130"/>
      <x:c r="M1" s="130"/>
      <x:c r="N1" s="130"/>
      <x:c r="O1" s="130"/>
      <x:c r="P1" s="130"/>
      <x:c r="Q1" s="130"/>
      <x:c r="R1" s="130"/>
    </x:row>
    <x:row r="2">
      <x:c r="A2" s="130"/>
      <x:c r="B2" s="379" t="str">
        <x:v>WOOD COLUMN / POST DESIGN ENGINE — NDS 2024 (ASD)</x:v>
      </x:c>
      <x:c r="C2" s="379"/>
      <x:c r="D2" s="379"/>
      <x:c r="E2" s="379"/>
      <x:c r="F2" s="379"/>
      <x:c r="G2" s="379"/>
      <x:c r="H2" s="379"/>
      <x:c r="I2" s="379"/>
      <x:c r="J2" s="379"/>
      <x:c r="K2" s="140"/>
      <x:c r="L2" s="140"/>
      <x:c r="M2" s="379" t="str">
        <x:v>LOCKED MATH QA BENCHMARKS</x:v>
      </x:c>
      <x:c r="N2" s="379"/>
      <x:c r="O2" s="379"/>
      <x:c r="P2" s="379"/>
      <x:c r="Q2" s="379"/>
      <x:c r="R2" s="379"/>
    </x:row>
    <x:row r="3">
      <x:c r="A3" s="130"/>
      <x:c r="B3" s="140"/>
      <x:c r="C3" s="140"/>
      <x:c r="D3" s="140"/>
      <x:c r="E3" s="140"/>
      <x:c r="F3" s="140"/>
      <x:c r="G3" s="140"/>
      <x:c r="H3" s="140"/>
      <x:c r="I3" s="140"/>
      <x:c r="J3" s="140"/>
      <x:c r="K3" s="140"/>
      <x:c r="L3" s="140"/>
      <x:c r="M3" s="384" t="str">
        <x:v>Test</x:v>
      </x:c>
      <x:c r="N3" s="384" t="str">
        <x:v>Inputs</x:v>
      </x:c>
      <x:c r="O3" s="384" t="str">
        <x:v>Expected</x:v>
      </x:c>
      <x:c r="P3" s="384" t="str">
        <x:v>Workbook</x:v>
      </x:c>
      <x:c r="Q3" s="384" t="str">
        <x:v>Abs Diff</x:v>
      </x:c>
      <x:c r="R3" s="384" t="str">
        <x:v>Status</x:v>
      </x:c>
    </x:row>
    <x:row r="4" ht="48" customHeight="1">
      <x:c r="A4" s="130"/>
      <x:c r="B4" s="381" t="str">
        <x:v>Scope: solid rectangular wood compression member under concentric axial load. The engine calculates effective lengths, slenderness about both principal axes, Euler buckling stress, NDS column stability factor Cp, adjusted compression design value Fc′, axial capacity, and utilization. Combined bending/eccentricity, built-up columns, tapered members, notches/holes, and connection/bearing design remain explicit review gates.</x:v>
      </x:c>
      <x:c r="C4" s="381"/>
      <x:c r="D4" s="381"/>
      <x:c r="E4" s="381"/>
      <x:c r="F4" s="381"/>
      <x:c r="G4" s="381"/>
      <x:c r="H4" s="381"/>
      <x:c r="I4" s="381"/>
      <x:c r="J4" s="381"/>
      <x:c r="K4" s="140"/>
      <x:c r="L4" s="140"/>
      <x:c r="M4" s="140" t="str">
        <x:v>COL-QA-01 A</x:v>
      </x:c>
      <x:c r="N4" s="140" t="str">
        <x:v>b=3.5, d=5.5</x:v>
      </x:c>
      <x:c r="O4" s="256" t="n">
        <x:v>19.25</x:v>
      </x:c>
      <x:c r="P4" s="256" t="n">
        <x:f>3.5*5.5</x:f>
        <x:v>19.25</x:v>
      </x:c>
      <x:c r="Q4" s="256" t="n">
        <x:f>ABS(O4-P4)</x:f>
        <x:v>0</x:v>
      </x:c>
      <x:c r="R4" s="140" t="str">
        <x:f>IF(Q4&lt;=0.0001,"PASS","FAIL")</x:f>
        <x:v>PASS</x:v>
      </x:c>
    </x:row>
    <x:row r="5">
      <x:c r="A5" s="130"/>
      <x:c r="B5" s="140"/>
      <x:c r="C5" s="140"/>
      <x:c r="D5" s="140"/>
      <x:c r="E5" s="140"/>
      <x:c r="F5" s="140"/>
      <x:c r="G5" s="140"/>
      <x:c r="H5" s="140"/>
      <x:c r="I5" s="140"/>
      <x:c r="J5" s="140"/>
      <x:c r="K5" s="140"/>
      <x:c r="L5" s="140"/>
      <x:c r="M5" s="140" t="str">
        <x:v>COL-QA-02 λx</x:v>
      </x:c>
      <x:c r="N5" s="140" t="str">
        <x:v>Lx=8ft, Ke=1, d=5.5</x:v>
      </x:c>
      <x:c r="O5" s="256" t="n">
        <x:v>17.454545454545453</x:v>
      </x:c>
      <x:c r="P5" s="256" t="n">
        <x:f>(8*12*1)/5.5</x:f>
        <x:v>17.454545454545453</x:v>
      </x:c>
      <x:c r="Q5" s="256" t="n">
        <x:f>ABS(O5-P5)</x:f>
        <x:v>0</x:v>
      </x:c>
      <x:c r="R5" s="140" t="str">
        <x:f>IF(Q5&lt;=1e-06,"PASS","FAIL")</x:f>
        <x:v>PASS</x:v>
      </x:c>
    </x:row>
    <x:row r="6">
      <x:c r="A6" s="130"/>
      <x:c r="B6" s="379" t="str">
        <x:v>MEMBER / MATERIAL BASIS</x:v>
      </x:c>
      <x:c r="C6" s="379"/>
      <x:c r="D6" s="379"/>
      <x:c r="E6" s="379"/>
      <x:c r="F6" s="379"/>
      <x:c r="G6" s="140"/>
      <x:c r="H6" s="379" t="str">
        <x:v>MODULE STATUS</x:v>
      </x:c>
      <x:c r="I6" s="379"/>
      <x:c r="J6" s="379"/>
      <x:c r="K6" s="140"/>
      <x:c r="L6" s="140"/>
      <x:c r="M6" s="140" t="str">
        <x:v>COL-QA-03 λy</x:v>
      </x:c>
      <x:c r="N6" s="140" t="str">
        <x:v>Ly=10ft, Ke=1, b=3.5</x:v>
      </x:c>
      <x:c r="O6" s="256" t="n">
        <x:v>34.285714285714285</x:v>
      </x:c>
      <x:c r="P6" s="256" t="n">
        <x:f>(10*12*1)/3.5</x:f>
        <x:v>34.285714285714285</x:v>
      </x:c>
      <x:c r="Q6" s="256" t="n">
        <x:f>ABS(O6-P6)</x:f>
        <x:v>0</x:v>
      </x:c>
      <x:c r="R6" s="140" t="str">
        <x:f>IF(Q6&lt;=1e-06,"PASS","FAIL")</x:f>
        <x:v>PASS</x:v>
      </x:c>
    </x:row>
    <x:row r="7" ht="24" customHeight="1">
      <x:c r="A7" s="130"/>
      <x:c r="B7" s="384" t="str">
        <x:v>Parameter</x:v>
      </x:c>
      <x:c r="C7" s="384" t="str">
        <x:v>Value</x:v>
      </x:c>
      <x:c r="D7" s="384" t="str">
        <x:v>Unit</x:v>
      </x:c>
      <x:c r="E7" s="384" t="str">
        <x:v>Source / Basis</x:v>
      </x:c>
      <x:c r="F7" s="384" t="str">
        <x:v>Status</x:v>
      </x:c>
      <x:c r="G7" s="140"/>
      <x:c r="H7" s="233" t="str">
        <x:v>Input Completeness</x:v>
      </x:c>
      <x:c r="I7" s="140" t="str">
        <x:f>IF(COUNTA('01_INPUTS'!C145:C167)&lt;23,"PENDING","COMPLETE")</x:f>
        <x:v>PENDING</x:v>
      </x:c>
      <x:c r="J7" s="140"/>
      <x:c r="K7" s="140"/>
      <x:c r="L7" s="140"/>
      <x:c r="M7" s="140" t="str">
        <x:v>COL-QA-04 FcE,y</x:v>
      </x:c>
      <x:c r="N7" s="140" t="str">
        <x:v>Emin′=580000 psi</x:v>
      </x:c>
      <x:c r="O7" s="256" t="n">
        <x:v>405.57708333333335</x:v>
      </x:c>
      <x:c r="P7" s="256" t="n">
        <x:f>0.822*580000/((10*12/3.5)^2)</x:f>
        <x:v>405.57708333333335</x:v>
      </x:c>
      <x:c r="Q7" s="256" t="n">
        <x:f>ABS(O7-P7)</x:f>
        <x:v>0</x:v>
      </x:c>
      <x:c r="R7" s="140" t="str">
        <x:f>IF(Q7&lt;=0.0001,"PASS","FAIL")</x:f>
        <x:v>PASS</x:v>
      </x:c>
    </x:row>
    <x:row r="8" ht="24" customHeight="1">
      <x:c r="A8" s="130"/>
      <x:c r="B8" s="140" t="str">
        <x:v>Column Mark</x:v>
      </x:c>
      <x:c r="C8" s="140" t="str">
        <x:f>IF('01_INPUTS'!C145="","",'01_INPUTS'!C145)</x:f>
      </x:c>
      <x:c r="D8" s="140"/>
      <x:c r="E8" s="140" t="str">
        <x:v>01_INPUTS</x:v>
      </x:c>
      <x:c r="F8" s="140" t="str">
        <x:f>IF(C8="","MISSING","OK")</x:f>
        <x:v>MISSING</x:v>
      </x:c>
      <x:c r="G8" s="140"/>
      <x:c r="H8" s="233" t="str">
        <x:v>Factor Completeness</x:v>
      </x:c>
      <x:c r="I8" s="140" t="str">
        <x:f>IF(COUNT('01_INPUTS'!C157:C165)&lt;9,"PENDING","COMPLETE")</x:f>
        <x:v>PENDING</x:v>
      </x:c>
      <x:c r="J8" s="140"/>
      <x:c r="K8" s="140"/>
      <x:c r="L8" s="140"/>
      <x:c r="M8" s="140" t="str">
        <x:v>COL-QA-05 Cp,y</x:v>
      </x:c>
      <x:c r="N8" s="140" t="str">
        <x:v>Fc*=1350, c=0.8</x:v>
      </x:c>
      <x:c r="O8" s="256" t="n">
        <x:v>0.27886068454429247</x:v>
      </x:c>
      <x:c r="P8" s="256" t="n">
        <x:f>(1+(P7/1350))/(2*0.8)-SQRT(((1+(P7/1350))/(2*0.8))^2-(P7/1350)/0.8)</x:f>
        <x:v>0.27886068454429247</x:v>
      </x:c>
      <x:c r="Q8" s="256" t="n">
        <x:f>ABS(O8-P8)</x:f>
        <x:v>0</x:v>
      </x:c>
      <x:c r="R8" s="140" t="str">
        <x:f>IF(Q8&lt;=1e-06,"PASS","FAIL")</x:f>
        <x:v>PASS</x:v>
      </x:c>
    </x:row>
    <x:row r="9" ht="24" customHeight="1">
      <x:c r="A9" s="130"/>
      <x:c r="B9" s="140" t="str">
        <x:v>Column Use</x:v>
      </x:c>
      <x:c r="C9" s="140" t="str">
        <x:f>IF('01_INPUTS'!C146="","",'01_INPUTS'!C146)</x:f>
      </x:c>
      <x:c r="D9" s="140"/>
      <x:c r="E9" s="140" t="str">
        <x:v>01_INPUTS</x:v>
      </x:c>
      <x:c r="F9" s="140" t="str">
        <x:f>IF(C9="","MISSING","OK")</x:f>
        <x:v>MISSING</x:v>
      </x:c>
      <x:c r="G9" s="140"/>
      <x:c r="H9" s="233" t="str">
        <x:v>Math Cross-Checks</x:v>
      </x:c>
      <x:c r="I9" s="140" t="str">
        <x:f>R13</x:f>
        <x:v>PASS</x:v>
      </x:c>
      <x:c r="J9" s="140"/>
      <x:c r="K9" s="140"/>
      <x:c r="L9" s="140"/>
      <x:c r="M9" s="140" t="str">
        <x:v>COL-QA-06 Fc′,gov</x:v>
      </x:c>
      <x:c r="N9" s="140" t="str">
        <x:v>Fc*=1350</x:v>
      </x:c>
      <x:c r="O9" s="256" t="n">
        <x:v>376.46192413479486</x:v>
      </x:c>
      <x:c r="P9" s="256" t="n">
        <x:f>1350*P8</x:f>
        <x:v>376.46192413479486</x:v>
      </x:c>
      <x:c r="Q9" s="256" t="n">
        <x:f>ABS(O9-P9)</x:f>
        <x:v>0</x:v>
      </x:c>
      <x:c r="R9" s="140" t="str">
        <x:f>IF(Q9&lt;=0.0001,"PASS","FAIL")</x:f>
        <x:v>PASS</x:v>
      </x:c>
    </x:row>
    <x:row r="10" ht="24" customHeight="1">
      <x:c r="A10" s="130"/>
      <x:c r="B10" s="140" t="str">
        <x:v>Material Type</x:v>
      </x:c>
      <x:c r="C10" s="140" t="str">
        <x:f>IF('01_INPUTS'!C147="","",'01_INPUTS'!C147)</x:f>
      </x:c>
      <x:c r="D10" s="140"/>
      <x:c r="E10" s="140" t="str">
        <x:v>01_INPUTS</x:v>
      </x:c>
      <x:c r="F10" s="140" t="str">
        <x:f>IF(C10="","MISSING","OK")</x:f>
        <x:v>MISSING</x:v>
      </x:c>
      <x:c r="G10" s="140"/>
      <x:c r="H10" s="233" t="str">
        <x:v>Axial / Slenderness</x:v>
      </x:c>
      <x:c r="I10" s="140" t="str">
        <x:f>IF(C56="","PENDING",IF(C56&lt;=1,IF(AND(C52="PASS",D52="PASS"),"PASS","FAIL"),"FAIL"))</x:f>
        <x:v>PENDING</x:v>
      </x:c>
      <x:c r="J10" s="140"/>
      <x:c r="K10" s="140"/>
      <x:c r="L10" s="140"/>
      <x:c r="M10" s="140" t="str">
        <x:v>COL-QA-07 Pallow</x:v>
      </x:c>
      <x:c r="N10" s="140" t="str">
        <x:v>A=19.25</x:v>
      </x:c>
      <x:c r="O10" s="256" t="n">
        <x:v>7246.892039594801</x:v>
      </x:c>
      <x:c r="P10" s="256" t="n">
        <x:f>P9*19.25</x:f>
        <x:v>7246.892039594801</x:v>
      </x:c>
      <x:c r="Q10" s="256" t="n">
        <x:f>ABS(O10-P10)</x:f>
        <x:v>0</x:v>
      </x:c>
      <x:c r="R10" s="140" t="str">
        <x:f>IF(Q10&lt;=0.0001,"PASS","FAIL")</x:f>
        <x:v>PASS</x:v>
      </x:c>
    </x:row>
    <x:row r="11" ht="24" customHeight="1">
      <x:c r="A11" s="130"/>
      <x:c r="B11" s="140" t="str">
        <x:v>Species / Species Group</x:v>
      </x:c>
      <x:c r="C11" s="140" t="str">
        <x:f>IF('01_INPUTS'!C58="","",'01_INPUTS'!C58)</x:f>
      </x:c>
      <x:c r="D11" s="140"/>
      <x:c r="E11" s="140" t="str">
        <x:v>NDS Supplement / source record</x:v>
      </x:c>
      <x:c r="F11" s="140" t="str">
        <x:f>IF(C11="","MISSING","OK")</x:f>
        <x:v>MISSING</x:v>
      </x:c>
      <x:c r="G11" s="140"/>
      <x:c r="H11" s="233" t="str">
        <x:v>Special Review Gates</x:v>
      </x:c>
      <x:c r="I11" s="140" t="str">
        <x:f>IF(OR('01_INPUTS'!C170="",'01_INPUTS'!C168=""),"REVIEW",IF('01_INPUTS'!C170="YES","REVIEW",IF('01_INPUTS'!C168="REVIEWED","PASS","REVIEW")))</x:f>
        <x:v>REVIEW</x:v>
      </x:c>
      <x:c r="J11" s="140"/>
      <x:c r="K11" s="140"/>
      <x:c r="L11" s="140"/>
      <x:c r="M11" s="140" t="str">
        <x:v>COL-QA-08 D/C</x:v>
      </x:c>
      <x:c r="N11" s="140" t="str">
        <x:v>P=5000 lb</x:v>
      </x:c>
      <x:c r="O11" s="256" t="n">
        <x:v>0.6899509434777735</x:v>
      </x:c>
      <x:c r="P11" s="256" t="n">
        <x:f>5000/P10</x:f>
        <x:v>0.6899509434777736</x:v>
      </x:c>
      <x:c r="Q11" s="256" t="n">
        <x:f>ABS(O11-P11)</x:f>
        <x:v>1.1102230246251565e-16</x:v>
      </x:c>
      <x:c r="R11" s="140" t="str">
        <x:f>IF(Q11&lt;=1e-06,"PASS","FAIL")</x:f>
        <x:v>PASS</x:v>
      </x:c>
    </x:row>
    <x:row r="12" ht="24" customHeight="1">
      <x:c r="A12" s="130"/>
      <x:c r="B12" s="140" t="str">
        <x:v>Grade</x:v>
      </x:c>
      <x:c r="C12" s="140" t="str">
        <x:f>IF('01_INPUTS'!C59="","",'01_INPUTS'!C59)</x:f>
      </x:c>
      <x:c r="D12" s="140"/>
      <x:c r="E12" s="140" t="str">
        <x:v>NDS Supplement / source record</x:v>
      </x:c>
      <x:c r="F12" s="140" t="str">
        <x:f>IF(C12="","MISSING","OK")</x:f>
        <x:v>MISSING</x:v>
      </x:c>
      <x:c r="G12" s="140"/>
      <x:c r="H12" s="233" t="str">
        <x:v>Overall</x:v>
      </x:c>
      <x:c r="I12" s="140" t="str">
        <x:f>IF(OR(I10="FAIL",I9="FAIL"),"FAIL",IF(OR(I7="PENDING",I8="PENDING",I10="PENDING"),"PENDING",IF(I11="PASS","PASS","REVIEW")))</x:f>
        <x:v>PENDING</x:v>
      </x:c>
      <x:c r="J12" s="140"/>
      <x:c r="K12" s="140"/>
      <x:c r="L12" s="140"/>
      <x:c r="M12" s="140"/>
      <x:c r="N12" s="140"/>
      <x:c r="O12" s="140"/>
      <x:c r="P12" s="140"/>
      <x:c r="Q12" s="140"/>
      <x:c r="R12" s="140"/>
    </x:row>
    <x:row r="13">
      <x:c r="A13" s="130"/>
      <x:c r="B13" s="140" t="str">
        <x:v>Actual Width b</x:v>
      </x:c>
      <x:c r="C13" s="256" t="str">
        <x:f>IF('01_INPUTS'!C148="","",'01_INPUTS'!C148)</x:f>
      </x:c>
      <x:c r="D13" s="140" t="str">
        <x:v>in</x:v>
      </x:c>
      <x:c r="E13" s="140" t="str">
        <x:v>01_INPUTS</x:v>
      </x:c>
      <x:c r="F13" s="140" t="str">
        <x:f>IF(C13="","MISSING","OK")</x:f>
        <x:v>MISSING</x:v>
      </x:c>
      <x:c r="G13" s="140"/>
      <x:c r="H13" s="140"/>
      <x:c r="I13" s="140"/>
      <x:c r="J13" s="140"/>
      <x:c r="K13" s="140"/>
      <x:c r="L13" s="140"/>
      <x:c r="M13" s="140" t="str">
        <x:v>Benchmark Overall</x:v>
      </x:c>
      <x:c r="N13" s="140"/>
      <x:c r="O13" s="140"/>
      <x:c r="P13" s="140"/>
      <x:c r="Q13" s="140"/>
      <x:c r="R13" s="140" t="str">
        <x:f>IF(COUNTIF(R4:R11,"FAIL")&gt;0,"FAIL","PASS")</x:f>
        <x:v>PASS</x:v>
      </x:c>
    </x:row>
    <x:row r="14">
      <x:c r="A14" s="130"/>
      <x:c r="B14" s="140" t="str">
        <x:v>Actual Depth d</x:v>
      </x:c>
      <x:c r="C14" s="256" t="str">
        <x:f>IF('01_INPUTS'!C149="","",'01_INPUTS'!C149)</x:f>
      </x:c>
      <x:c r="D14" s="140" t="str">
        <x:v>in</x:v>
      </x:c>
      <x:c r="E14" s="140" t="str">
        <x:v>01_INPUTS</x:v>
      </x:c>
      <x:c r="F14" s="140" t="str">
        <x:f>IF(C14="","MISSING","OK")</x:f>
        <x:v>MISSING</x:v>
      </x:c>
      <x:c r="G14" s="140"/>
      <x:c r="H14" s="140"/>
      <x:c r="I14" s="140"/>
      <x:c r="J14" s="140"/>
      <x:c r="K14" s="140"/>
      <x:c r="L14" s="140"/>
      <x:c r="M14" s="140"/>
      <x:c r="N14" s="140"/>
      <x:c r="O14" s="140"/>
      <x:c r="P14" s="140"/>
      <x:c r="Q14" s="140"/>
      <x:c r="R14" s="140"/>
    </x:row>
    <x:row r="15">
      <x:c r="A15" s="130"/>
      <x:c r="B15" s="140" t="str">
        <x:v>Axial Compression Demand P</x:v>
      </x:c>
      <x:c r="C15" s="356" t="str">
        <x:f>IF('01_INPUTS'!C150="","",'01_INPUTS'!C150)</x:f>
      </x:c>
      <x:c r="D15" s="140" t="str">
        <x:v>lb</x:v>
      </x:c>
      <x:c r="E15" s="140" t="str">
        <x:v>01_INPUTS / load path</x:v>
      </x:c>
      <x:c r="F15" s="140" t="str">
        <x:f>IF(C15="","MISSING","OK")</x:f>
        <x:v>MISSING</x:v>
      </x:c>
      <x:c r="G15" s="140"/>
      <x:c r="H15" s="140"/>
      <x:c r="I15" s="140"/>
      <x:c r="J15" s="140"/>
      <x:c r="K15" s="140"/>
      <x:c r="L15" s="140"/>
      <x:c r="M15" s="387" t="str">
        <x:v>QA note: locked benchmarks independently validate the column arithmetic implementation. They do not replace project-specific NDS applicability review, source-controlled design values, effective-length judgment, or professional engineering approval.</x:v>
      </x:c>
      <x:c r="N15" s="387"/>
      <x:c r="O15" s="387"/>
      <x:c r="P15" s="387"/>
      <x:c r="Q15" s="387"/>
      <x:c r="R15" s="387"/>
    </x:row>
    <x:row r="16">
      <x:c r="A16" s="130"/>
      <x:c r="B16" s="140" t="str">
        <x:v>Unbraced Length Lx</x:v>
      </x:c>
      <x:c r="C16" s="256" t="str">
        <x:f>IF('01_INPUTS'!C151="","",'01_INPUTS'!C151)</x:f>
      </x:c>
      <x:c r="D16" s="140" t="str">
        <x:v>ft</x:v>
      </x:c>
      <x:c r="E16" s="140" t="str">
        <x:v>01_INPUTS</x:v>
      </x:c>
      <x:c r="F16" s="140" t="str">
        <x:f>IF(C16="","MISSING","OK")</x:f>
        <x:v>MISSING</x:v>
      </x:c>
      <x:c r="G16" s="140"/>
      <x:c r="H16" s="140"/>
      <x:c r="I16" s="140"/>
      <x:c r="J16" s="140"/>
      <x:c r="K16" s="140"/>
      <x:c r="L16" s="140"/>
      <x:c r="M16" s="387"/>
      <x:c r="N16" s="387"/>
      <x:c r="O16" s="387"/>
      <x:c r="P16" s="387"/>
      <x:c r="Q16" s="387"/>
      <x:c r="R16" s="387"/>
    </x:row>
    <x:row r="17">
      <x:c r="A17" s="130"/>
      <x:c r="B17" s="140" t="str">
        <x:v>Unbraced Length Ly</x:v>
      </x:c>
      <x:c r="C17" s="256" t="str">
        <x:f>IF('01_INPUTS'!C152="","",'01_INPUTS'!C152)</x:f>
      </x:c>
      <x:c r="D17" s="140" t="str">
        <x:v>ft</x:v>
      </x:c>
      <x:c r="E17" s="140" t="str">
        <x:v>01_INPUTS</x:v>
      </x:c>
      <x:c r="F17" s="140" t="str">
        <x:f>IF(C17="","MISSING","OK")</x:f>
        <x:v>MISSING</x:v>
      </x:c>
      <x:c r="G17" s="140"/>
      <x:c r="H17" s="140"/>
      <x:c r="I17" s="140"/>
      <x:c r="J17" s="140"/>
      <x:c r="K17" s="140"/>
      <x:c r="L17" s="140"/>
      <x:c r="M17" s="140"/>
      <x:c r="N17" s="140"/>
      <x:c r="O17" s="140"/>
      <x:c r="P17" s="140"/>
      <x:c r="Q17" s="140"/>
      <x:c r="R17" s="140"/>
    </x:row>
    <x:row r="18">
      <x:c r="A18" s="130"/>
      <x:c r="B18" s="140" t="str">
        <x:v>Ke — X</x:v>
      </x:c>
      <x:c r="C18" s="256" t="str">
        <x:f>IF('01_INPUTS'!C153="","",'01_INPUTS'!C153)</x:f>
      </x:c>
      <x:c r="D18" s="140"/>
      <x:c r="E18" s="140" t="str">
        <x:v>NDS Appendix G / mechanics</x:v>
      </x:c>
      <x:c r="F18" s="140" t="str">
        <x:f>IF(C18="","MISSING","OK")</x:f>
        <x:v>MISSING</x:v>
      </x:c>
      <x:c r="G18" s="140"/>
      <x:c r="H18" s="140"/>
      <x:c r="I18" s="140"/>
      <x:c r="J18" s="140"/>
      <x:c r="K18" s="140"/>
      <x:c r="L18" s="140"/>
      <x:c r="M18" s="140"/>
      <x:c r="N18" s="140"/>
      <x:c r="O18" s="140"/>
      <x:c r="P18" s="140"/>
      <x:c r="Q18" s="140"/>
      <x:c r="R18" s="140"/>
    </x:row>
    <x:row r="19">
      <x:c r="A19" s="130"/>
      <x:c r="B19" s="140" t="str">
        <x:v>Ke — Y</x:v>
      </x:c>
      <x:c r="C19" s="256" t="str">
        <x:f>IF('01_INPUTS'!C154="","",'01_INPUTS'!C154)</x:f>
      </x:c>
      <x:c r="D19" s="140"/>
      <x:c r="E19" s="140" t="str">
        <x:v>NDS Appendix G / mechanics</x:v>
      </x:c>
      <x:c r="F19" s="140" t="str">
        <x:f>IF(C19="","MISSING","OK")</x:f>
        <x:v>MISSING</x:v>
      </x:c>
      <x:c r="G19" s="140"/>
      <x:c r="H19" s="140"/>
      <x:c r="I19" s="140"/>
      <x:c r="J19" s="140"/>
      <x:c r="K19" s="140"/>
      <x:c r="L19" s="140"/>
      <x:c r="M19" s="140"/>
      <x:c r="N19" s="140"/>
      <x:c r="O19" s="140"/>
      <x:c r="P19" s="140"/>
      <x:c r="Q19" s="140"/>
      <x:c r="R19" s="140"/>
    </x:row>
    <x:row r="20">
      <x:c r="A20" s="130"/>
      <x:c r="B20" s="140" t="str">
        <x:v>Reference Fc</x:v>
      </x:c>
      <x:c r="C20" s="256" t="str">
        <x:f>IF('01_INPUTS'!C155="","",'01_INPUTS'!C155)</x:f>
      </x:c>
      <x:c r="D20" s="140" t="str">
        <x:v>psi</x:v>
      </x:c>
      <x:c r="E20" s="140" t="str">
        <x:v>2024 NDS Supplement / manufacturer</x:v>
      </x:c>
      <x:c r="F20" s="140" t="str">
        <x:f>IF(C20="","MISSING","OK")</x:f>
        <x:v>MISSING</x:v>
      </x:c>
      <x:c r="G20" s="140"/>
      <x:c r="H20" s="140"/>
      <x:c r="I20" s="140"/>
      <x:c r="J20" s="140"/>
      <x:c r="K20" s="140"/>
      <x:c r="L20" s="140"/>
      <x:c r="M20" s="140"/>
      <x:c r="N20" s="140"/>
      <x:c r="O20" s="140"/>
      <x:c r="P20" s="140"/>
      <x:c r="Q20" s="140"/>
      <x:c r="R20" s="140"/>
    </x:row>
    <x:row r="21">
      <x:c r="A21" s="130"/>
      <x:c r="B21" s="140" t="str">
        <x:v>Reference Emin</x:v>
      </x:c>
      <x:c r="C21" s="256" t="str">
        <x:f>IF('01_INPUTS'!C156="","",'01_INPUTS'!C156)</x:f>
      </x:c>
      <x:c r="D21" s="140" t="str">
        <x:v>psi</x:v>
      </x:c>
      <x:c r="E21" s="140" t="str">
        <x:v>2024 NDS Supplement / manufacturer</x:v>
      </x:c>
      <x:c r="F21" s="140" t="str">
        <x:f>IF(C21="","MISSING","OK")</x:f>
        <x:v>MISSING</x:v>
      </x:c>
      <x:c r="G21" s="140"/>
      <x:c r="H21" s="140"/>
      <x:c r="I21" s="140"/>
      <x:c r="J21" s="140"/>
      <x:c r="K21" s="140"/>
      <x:c r="L21" s="140"/>
      <x:c r="M21" s="140"/>
      <x:c r="N21" s="140"/>
      <x:c r="O21" s="140"/>
      <x:c r="P21" s="140"/>
      <x:c r="Q21" s="140"/>
      <x:c r="R21" s="140"/>
    </x:row>
    <x:row r="22">
      <x:c r="A22" s="130"/>
      <x:c r="B22" s="140" t="str">
        <x:v>Reference Design Value Record</x:v>
      </x:c>
      <x:c r="C22" s="140" t="str">
        <x:f>IF('01_INPUTS'!C166="","",'01_INPUTS'!C166)</x:f>
      </x:c>
      <x:c r="D22" s="140"/>
      <x:c r="E22" s="140" t="str">
        <x:v>01_INPUTS</x:v>
      </x:c>
      <x:c r="F22" s="140" t="str">
        <x:f>IF(C22="","MISSING","OK")</x:f>
        <x:v>MISSING</x:v>
      </x:c>
      <x:c r="G22" s="140"/>
      <x:c r="H22" s="140"/>
      <x:c r="I22" s="140"/>
      <x:c r="J22" s="140"/>
      <x:c r="K22" s="140"/>
      <x:c r="L22" s="140"/>
      <x:c r="M22" s="140"/>
      <x:c r="N22" s="140"/>
      <x:c r="O22" s="140"/>
      <x:c r="P22" s="140"/>
      <x:c r="Q22" s="140"/>
      <x:c r="R22" s="140"/>
    </x:row>
    <x:row r="23">
      <x:c r="A23" s="130"/>
      <x:c r="B23" s="140" t="str">
        <x:v>Adjustment Factor Record</x:v>
      </x:c>
      <x:c r="C23" s="140" t="str">
        <x:f>IF('01_INPUTS'!C167="","",'01_INPUTS'!C167)</x:f>
      </x:c>
      <x:c r="D23" s="140"/>
      <x:c r="E23" s="140" t="str">
        <x:v>01_INPUTS</x:v>
      </x:c>
      <x:c r="F23" s="140" t="str">
        <x:f>IF(C23="","MISSING","OK")</x:f>
        <x:v>MISSING</x:v>
      </x:c>
      <x:c r="G23" s="140"/>
      <x:c r="H23" s="140"/>
      <x:c r="I23" s="140"/>
      <x:c r="J23" s="140"/>
      <x:c r="K23" s="140"/>
      <x:c r="L23" s="140"/>
      <x:c r="M23" s="140"/>
      <x:c r="N23" s="140"/>
      <x:c r="O23" s="140"/>
      <x:c r="P23" s="140"/>
      <x:c r="Q23" s="140"/>
      <x:c r="R23" s="140"/>
    </x:row>
    <x:row r="24">
      <x:c r="A24" s="130"/>
      <x:c r="B24" s="140"/>
      <x:c r="C24" s="140"/>
      <x:c r="D24" s="140"/>
      <x:c r="E24" s="140"/>
      <x:c r="F24" s="140"/>
      <x:c r="G24" s="140"/>
      <x:c r="H24" s="140"/>
      <x:c r="I24" s="140"/>
      <x:c r="J24" s="140"/>
      <x:c r="K24" s="140"/>
      <x:c r="L24" s="140"/>
      <x:c r="M24" s="140"/>
      <x:c r="N24" s="140"/>
      <x:c r="O24" s="140"/>
      <x:c r="P24" s="140"/>
      <x:c r="Q24" s="140"/>
      <x:c r="R24" s="140"/>
    </x:row>
    <x:row r="25">
      <x:c r="A25" s="130"/>
      <x:c r="B25" s="379" t="str">
        <x:v>ASD REFERENCE DESIGN VALUE ADJUSTMENT AUDIT</x:v>
      </x:c>
      <x:c r="C25" s="379"/>
      <x:c r="D25" s="379"/>
      <x:c r="E25" s="379"/>
      <x:c r="F25" s="379"/>
      <x:c r="G25" s="379"/>
      <x:c r="H25" s="379"/>
      <x:c r="I25" s="140"/>
      <x:c r="J25" s="140"/>
      <x:c r="K25" s="140"/>
      <x:c r="L25" s="140"/>
      <x:c r="M25" s="140"/>
      <x:c r="N25" s="140"/>
      <x:c r="O25" s="140"/>
      <x:c r="P25" s="140"/>
      <x:c r="Q25" s="140"/>
      <x:c r="R25" s="140"/>
    </x:row>
    <x:row r="26">
      <x:c r="A26" s="130"/>
      <x:c r="B26" s="384" t="str">
        <x:v>Property</x:v>
      </x:c>
      <x:c r="C26" s="384" t="str">
        <x:v>Reference</x:v>
      </x:c>
      <x:c r="D26" s="384" t="str">
        <x:v>Factor Product</x:v>
      </x:c>
      <x:c r="E26" s="384" t="str">
        <x:v>Adjusted</x:v>
      </x:c>
      <x:c r="F26" s="384" t="str">
        <x:v>Unit</x:v>
      </x:c>
      <x:c r="G26" s="384" t="str">
        <x:v>Factors Applied</x:v>
      </x:c>
      <x:c r="H26" s="384" t="str">
        <x:v>Status</x:v>
      </x:c>
      <x:c r="I26" s="140"/>
      <x:c r="J26" s="140"/>
      <x:c r="K26" s="140"/>
      <x:c r="L26" s="140"/>
      <x:c r="M26" s="140"/>
      <x:c r="N26" s="140"/>
      <x:c r="O26" s="140"/>
      <x:c r="P26" s="140"/>
      <x:c r="Q26" s="140"/>
      <x:c r="R26" s="140"/>
    </x:row>
    <x:row r="27">
      <x:c r="A27" s="130"/>
      <x:c r="B27" s="140" t="str">
        <x:v>Fc*</x:v>
      </x:c>
      <x:c r="C27" s="140" t="str">
        <x:f>IF(C20="","",C20)</x:f>
      </x:c>
      <x:c r="D27" s="140" t="str">
        <x:f>IF(COUNT('01_INPUTS'!C157:C161)&lt;5,"",PRODUCT('01_INPUTS'!C157:C161))</x:f>
      </x:c>
      <x:c r="E27" s="140" t="str">
        <x:f>IF(OR(C27="",D27=""),"",C27*D27)</x:f>
      </x:c>
      <x:c r="F27" s="140" t="str">
        <x:v>psi</x:v>
      </x:c>
      <x:c r="G27" s="140" t="str">
        <x:v>CD·CM·Ct·CF·Ci (all applicable factors except Cp)</x:v>
      </x:c>
      <x:c r="H27" s="140" t="str">
        <x:f>IF(E27="","PENDING","OK")</x:f>
        <x:v>PENDING</x:v>
      </x:c>
      <x:c r="I27" s="140"/>
      <x:c r="J27" s="140"/>
      <x:c r="K27" s="140"/>
      <x:c r="L27" s="140"/>
      <x:c r="M27" s="140"/>
      <x:c r="N27" s="140"/>
      <x:c r="O27" s="140"/>
      <x:c r="P27" s="140"/>
      <x:c r="Q27" s="140"/>
      <x:c r="R27" s="140"/>
    </x:row>
    <x:row r="28">
      <x:c r="A28" s="130"/>
      <x:c r="B28" s="140" t="str">
        <x:v>Emin′</x:v>
      </x:c>
      <x:c r="C28" s="140" t="str">
        <x:f>IF(C21="","",C21)</x:f>
      </x:c>
      <x:c r="D28" s="140" t="str">
        <x:f>IF(COUNT('01_INPUTS'!C162:C165)&lt;4,"",PRODUCT('01_INPUTS'!C162:C165))</x:f>
      </x:c>
      <x:c r="E28" s="140" t="str">
        <x:f>IF(OR(C28="",D28=""),"",C28*D28)</x:f>
      </x:c>
      <x:c r="F28" s="140" t="str">
        <x:v>psi</x:v>
      </x:c>
      <x:c r="G28" s="140" t="str">
        <x:v>CM·Ct·Ci·CT</x:v>
      </x:c>
      <x:c r="H28" s="140" t="str">
        <x:f>IF(E28="","PENDING","OK")</x:f>
        <x:v>PENDING</x:v>
      </x:c>
      <x:c r="I28" s="140"/>
      <x:c r="J28" s="140"/>
      <x:c r="K28" s="140"/>
      <x:c r="L28" s="140"/>
      <x:c r="M28" s="140"/>
      <x:c r="N28" s="140"/>
      <x:c r="O28" s="140"/>
      <x:c r="P28" s="140"/>
      <x:c r="Q28" s="140"/>
      <x:c r="R28" s="140"/>
    </x:row>
    <x:row r="29">
      <x:c r="A29" s="130"/>
      <x:c r="B29" s="140" t="str">
        <x:v>c parameter</x:v>
      </x:c>
      <x:c r="C29" s="140" t="str">
        <x:f>IF(C10="","",IF(C10="Sawn Lumber",0.8,IF(OR(C10="Glulam",C10="SCL",C10="CLT"),0.9,"")))</x:f>
      </x:c>
      <x:c r="D29" s="140"/>
      <x:c r="E29" s="140" t="str">
        <x:f>IF(C29="","",C29)</x:f>
      </x:c>
      <x:c r="F29" s="140"/>
      <x:c r="G29" s="140" t="str">
        <x:v>0.8 sawn; 0.9 glulam/SCL/CLT</x:v>
      </x:c>
      <x:c r="H29" s="140" t="str">
        <x:f>IF(C29="","PENDING","OK")</x:f>
        <x:v>PENDING</x:v>
      </x:c>
      <x:c r="I29" s="140"/>
      <x:c r="J29" s="140"/>
      <x:c r="K29" s="140"/>
      <x:c r="L29" s="140"/>
      <x:c r="M29" s="140"/>
      <x:c r="N29" s="140"/>
      <x:c r="O29" s="140"/>
      <x:c r="P29" s="140"/>
      <x:c r="Q29" s="140"/>
      <x:c r="R29" s="140"/>
    </x:row>
    <x:row r="30">
      <x:c r="A30" s="130"/>
      <x:c r="B30" s="140"/>
      <x:c r="C30" s="140"/>
      <x:c r="D30" s="140"/>
      <x:c r="E30" s="140"/>
      <x:c r="F30" s="140"/>
      <x:c r="G30" s="140"/>
      <x:c r="H30" s="140"/>
      <x:c r="I30" s="140"/>
      <x:c r="J30" s="140"/>
      <x:c r="K30" s="140"/>
      <x:c r="L30" s="140"/>
      <x:c r="M30" s="140"/>
      <x:c r="N30" s="140"/>
      <x:c r="O30" s="140"/>
      <x:c r="P30" s="140"/>
      <x:c r="Q30" s="140"/>
      <x:c r="R30" s="140"/>
    </x:row>
    <x:row r="31">
      <x:c r="A31" s="130"/>
      <x:c r="B31" s="379" t="str">
        <x:v>COLUMN GEOMETRY, STABILITY &amp; CAPACITY</x:v>
      </x:c>
      <x:c r="C31" s="379"/>
      <x:c r="D31" s="379"/>
      <x:c r="E31" s="379"/>
      <x:c r="F31" s="379"/>
      <x:c r="G31" s="379"/>
      <x:c r="H31" s="379"/>
      <x:c r="I31" s="140"/>
      <x:c r="J31" s="140"/>
      <x:c r="K31" s="140"/>
      <x:c r="L31" s="140"/>
      <x:c r="M31" s="140"/>
      <x:c r="N31" s="140"/>
      <x:c r="O31" s="140"/>
      <x:c r="P31" s="140"/>
      <x:c r="Q31" s="140"/>
      <x:c r="R31" s="140"/>
    </x:row>
    <x:row r="32">
      <x:c r="A32" s="130"/>
      <x:c r="B32" s="384" t="str">
        <x:v>Quantity</x:v>
      </x:c>
      <x:c r="C32" s="384" t="str">
        <x:v>X Axis</x:v>
      </x:c>
      <x:c r="D32" s="384" t="str">
        <x:v>Y Axis</x:v>
      </x:c>
      <x:c r="E32" s="384" t="str">
        <x:v>Unit</x:v>
      </x:c>
      <x:c r="F32" s="384" t="str">
        <x:v>Equation / Method</x:v>
      </x:c>
      <x:c r="G32" s="384" t="str">
        <x:v>Independent Check</x:v>
      </x:c>
      <x:c r="H32" s="384" t="str">
        <x:v>Status</x:v>
      </x:c>
      <x:c r="I32" s="140"/>
      <x:c r="J32" s="140"/>
      <x:c r="K32" s="140"/>
      <x:c r="L32" s="140"/>
      <x:c r="M32" s="140"/>
      <x:c r="N32" s="140"/>
      <x:c r="O32" s="140"/>
      <x:c r="P32" s="140"/>
      <x:c r="Q32" s="140"/>
      <x:c r="R32" s="140"/>
    </x:row>
    <x:row r="33">
      <x:c r="A33" s="130"/>
      <x:c r="B33" s="140" t="str">
        <x:v>Area A</x:v>
      </x:c>
      <x:c r="C33" s="256" t="str">
        <x:f>IF(OR(C13="",C14=""),"",C13*C14)</x:f>
      </x:c>
      <x:c r="D33" s="256" t="str">
        <x:f>IF(C33="","",C33)</x:f>
      </x:c>
      <x:c r="E33" s="140" t="str">
        <x:v>in²</x:v>
      </x:c>
      <x:c r="F33" s="140" t="str">
        <x:v>A = b·d</x:v>
      </x:c>
      <x:c r="G33" s="140" t="str">
        <x:v>b·d</x:v>
      </x:c>
      <x:c r="H33" s="140" t="str">
        <x:f>IF(C33="","PENDING","OK")</x:f>
        <x:v>PENDING</x:v>
      </x:c>
      <x:c r="I33" s="140"/>
      <x:c r="J33" s="140"/>
      <x:c r="K33" s="140"/>
      <x:c r="L33" s="140"/>
      <x:c r="M33" s="140"/>
      <x:c r="N33" s="140"/>
      <x:c r="O33" s="140"/>
      <x:c r="P33" s="140"/>
      <x:c r="Q33" s="140"/>
      <x:c r="R33" s="140"/>
    </x:row>
    <x:row r="34">
      <x:c r="A34" s="130"/>
      <x:c r="B34" s="140" t="str">
        <x:v>Effective length ℓe</x:v>
      </x:c>
      <x:c r="C34" s="256" t="str">
        <x:f>IF(OR(C16="",C18=""),"",C16*12*C18)</x:f>
      </x:c>
      <x:c r="D34" s="256" t="str">
        <x:f>IF(OR(C17="",C19=""),"",C17*12*C19)</x:f>
      </x:c>
      <x:c r="E34" s="140" t="str">
        <x:v>in</x:v>
      </x:c>
      <x:c r="F34" s="140" t="str">
        <x:v>ℓe = Ke·L</x:v>
      </x:c>
      <x:c r="G34" s="140" t="str">
        <x:v>Ke·L</x:v>
      </x:c>
      <x:c r="H34" s="140" t="str">
        <x:f>IF(C34="","PENDING","OK")</x:f>
        <x:v>PENDING</x:v>
      </x:c>
      <x:c r="I34" s="140"/>
      <x:c r="J34" s="140"/>
      <x:c r="K34" s="140"/>
      <x:c r="L34" s="140"/>
      <x:c r="M34" s="140"/>
      <x:c r="N34" s="140"/>
      <x:c r="O34" s="140"/>
      <x:c r="P34" s="140"/>
      <x:c r="Q34" s="140"/>
      <x:c r="R34" s="140"/>
    </x:row>
    <x:row r="35">
      <x:c r="A35" s="130"/>
      <x:c r="B35" s="140" t="str">
        <x:v>Buckling dimension</x:v>
      </x:c>
      <x:c r="C35" s="256" t="str">
        <x:f>IF(C14="","",C14)</x:f>
      </x:c>
      <x:c r="D35" s="256" t="str">
        <x:f>IF(C13="","",C13)</x:f>
      </x:c>
      <x:c r="E35" s="140" t="str">
        <x:v>in</x:v>
      </x:c>
      <x:c r="F35" s="140" t="str">
        <x:v>d for X; b for Y</x:v>
      </x:c>
      <x:c r="G35" s="140" t="str">
        <x:v>section geometry</x:v>
      </x:c>
      <x:c r="H35" s="140" t="str">
        <x:f>IF(C35="","PENDING","OK")</x:f>
        <x:v>PENDING</x:v>
      </x:c>
      <x:c r="I35" s="140"/>
      <x:c r="J35" s="140"/>
      <x:c r="K35" s="140"/>
      <x:c r="L35" s="140"/>
      <x:c r="M35" s="140"/>
      <x:c r="N35" s="140"/>
      <x:c r="O35" s="140"/>
      <x:c r="P35" s="140"/>
      <x:c r="Q35" s="140"/>
      <x:c r="R35" s="140"/>
    </x:row>
    <x:row r="36">
      <x:c r="A36" s="130"/>
      <x:c r="B36" s="140" t="str">
        <x:v>Slenderness ℓe/d</x:v>
      </x:c>
      <x:c r="C36" s="256" t="str">
        <x:f>IF(OR(C34="",C35="",C35=0),"",C34/C35)</x:f>
      </x:c>
      <x:c r="D36" s="256" t="str">
        <x:f>IF(OR(D34="",D35="",D35=0),"",D34/D35)</x:f>
      </x:c>
      <x:c r="E36" s="140"/>
      <x:c r="F36" s="140" t="str">
        <x:v>effective length / buckling dimension</x:v>
      </x:c>
      <x:c r="G36" s="140" t="str">
        <x:v>direct recomputation</x:v>
      </x:c>
      <x:c r="H36" s="140" t="str">
        <x:f>IF(C36="","PENDING","OK")</x:f>
        <x:v>PENDING</x:v>
      </x:c>
      <x:c r="I36" s="140"/>
      <x:c r="J36" s="140"/>
      <x:c r="K36" s="140"/>
      <x:c r="L36" s="140"/>
      <x:c r="M36" s="140"/>
      <x:c r="N36" s="140"/>
      <x:c r="O36" s="140"/>
      <x:c r="P36" s="140"/>
      <x:c r="Q36" s="140"/>
      <x:c r="R36" s="140"/>
    </x:row>
    <x:row r="37">
      <x:c r="A37" s="130"/>
      <x:c r="B37" s="140" t="str">
        <x:v>Slenderness limit</x:v>
      </x:c>
      <x:c r="C37" s="140" t="str">
        <x:f>IF(C36="","",IF(C36&lt;=50,"PASS","FAIL"))</x:f>
      </x:c>
      <x:c r="D37" s="140" t="str">
        <x:f>IF(D36="","",IF(D36&lt;=50,"PASS","FAIL"))</x:f>
      </x:c>
      <x:c r="E37" s="140"/>
      <x:c r="F37" s="140" t="str">
        <x:v>≤ 50 for solid columns</x:v>
      </x:c>
      <x:c r="G37" s="140" t="str">
        <x:v>direct limit check</x:v>
      </x:c>
      <x:c r="H37" s="140" t="str">
        <x:f>IF(OR(C37="",D37=""),"PENDING",IF(AND(C37="PASS",D37="PASS"),"PASS","FAIL"))</x:f>
        <x:v>PENDING</x:v>
      </x:c>
      <x:c r="I37" s="140"/>
      <x:c r="J37" s="140"/>
      <x:c r="K37" s="140"/>
      <x:c r="L37" s="140"/>
      <x:c r="M37" s="140"/>
      <x:c r="N37" s="140"/>
      <x:c r="O37" s="140"/>
      <x:c r="P37" s="140"/>
      <x:c r="Q37" s="140"/>
      <x:c r="R37" s="140"/>
    </x:row>
    <x:row r="38">
      <x:c r="A38" s="130"/>
      <x:c r="B38" s="140" t="str">
        <x:v>FcE</x:v>
      </x:c>
      <x:c r="C38" s="256" t="str">
        <x:f>IF(OR(E28="",C36="",C36=0),"",0.822*E28/C36^2)</x:f>
      </x:c>
      <x:c r="D38" s="256" t="str">
        <x:f>IF(OR(E28="",D36="",D36=0),"",0.822*E28/D36^2)</x:f>
      </x:c>
      <x:c r="E38" s="140" t="str">
        <x:v>psi</x:v>
      </x:c>
      <x:c r="F38" s="140" t="str">
        <x:v>0.822·Emin′/(ℓe/d)²</x:v>
      </x:c>
      <x:c r="G38" s="140" t="str">
        <x:f>IF(OR(E28="",C34="",C35="",C34=0),"",PI()^2*E28/(C34/(C35/SQRT(12)))^2)</x:f>
      </x:c>
      <x:c r="H38" s="140" t="str">
        <x:f>IF(C38="","PENDING","OK")</x:f>
        <x:v>PENDING</x:v>
      </x:c>
      <x:c r="I38" s="140"/>
      <x:c r="J38" s="140"/>
      <x:c r="K38" s="140"/>
      <x:c r="L38" s="140"/>
      <x:c r="M38" s="140"/>
      <x:c r="N38" s="140"/>
      <x:c r="O38" s="140"/>
      <x:c r="P38" s="140"/>
      <x:c r="Q38" s="140"/>
      <x:c r="R38" s="140"/>
    </x:row>
    <x:row r="39">
      <x:c r="A39" s="130"/>
      <x:c r="B39" s="140" t="str">
        <x:v>FcE/Fc*</x:v>
      </x:c>
      <x:c r="C39" s="256" t="str">
        <x:f>IF(OR(C38="",E27="",E27=0),"",C38/E27)</x:f>
      </x:c>
      <x:c r="D39" s="256" t="str">
        <x:f>IF(OR(D38="",E27="",E27=0),"",D38/E27)</x:f>
      </x:c>
      <x:c r="E39" s="140"/>
      <x:c r="F39" s="140" t="str">
        <x:v>ratio for Cp equation</x:v>
      </x:c>
      <x:c r="G39" s="140" t="str">
        <x:f>IF(OR(E28="",D34="",D35="",D34=0),"",PI()^2*E28/(D34/(D35/SQRT(12)))^2)</x:f>
      </x:c>
      <x:c r="H39" s="140" t="str">
        <x:f>IF(C39="","PENDING","OK")</x:f>
        <x:v>PENDING</x:v>
      </x:c>
      <x:c r="I39" s="140"/>
      <x:c r="J39" s="140"/>
      <x:c r="K39" s="140"/>
      <x:c r="L39" s="140"/>
      <x:c r="M39" s="140"/>
      <x:c r="N39" s="140"/>
      <x:c r="O39" s="140"/>
      <x:c r="P39" s="140"/>
      <x:c r="Q39" s="140"/>
      <x:c r="R39" s="140"/>
    </x:row>
    <x:row r="40">
      <x:c r="A40" s="130"/>
      <x:c r="B40" s="140" t="str">
        <x:v>Column stability factor Cp</x:v>
      </x:c>
      <x:c r="C40" s="256" t="str">
        <x:f>IF(OR(C39="",C29="",C29=0),"",(1+C39)/(2*C29)-SQRT(((1+C39)/(2*C29))^2-C39/C29))</x:f>
      </x:c>
      <x:c r="D40" s="256" t="str">
        <x:f>IF(OR(D39="",C29="",C29=0),"",(1+D39)/(2*C29)-SQRT(((1+D39)/(2*C29))^2-D39/C29))</x:f>
      </x:c>
      <x:c r="E40" s="140"/>
      <x:c r="F40" s="140" t="str">
        <x:v>NDS Eq. 3.7-1</x:v>
      </x:c>
      <x:c r="G40" s="140" t="str">
        <x:v>locked benchmark</x:v>
      </x:c>
      <x:c r="H40" s="140" t="str">
        <x:f>IF(C40="","PENDING","OK")</x:f>
        <x:v>PENDING</x:v>
      </x:c>
      <x:c r="I40" s="140"/>
      <x:c r="J40" s="140"/>
      <x:c r="K40" s="140"/>
      <x:c r="L40" s="140"/>
      <x:c r="M40" s="140"/>
      <x:c r="N40" s="140"/>
      <x:c r="O40" s="140"/>
      <x:c r="P40" s="140"/>
      <x:c r="Q40" s="140"/>
      <x:c r="R40" s="140"/>
    </x:row>
    <x:row r="41">
      <x:c r="A41" s="130"/>
      <x:c r="B41" s="140" t="str">
        <x:v>Adjusted Fc′</x:v>
      </x:c>
      <x:c r="C41" s="256" t="str">
        <x:f>IF(OR(E27="",C40=""),"",E27*C40)</x:f>
      </x:c>
      <x:c r="D41" s="256" t="str">
        <x:f>IF(OR(E27="",D40=""),"",E27*D40)</x:f>
      </x:c>
      <x:c r="E41" s="140" t="str">
        <x:v>psi</x:v>
      </x:c>
      <x:c r="F41" s="140" t="str">
        <x:v>Fc′ = Fc*·Cp</x:v>
      </x:c>
      <x:c r="G41" s="140" t="str">
        <x:v>capacity back-check</x:v>
      </x:c>
      <x:c r="H41" s="140" t="str">
        <x:f>IF(C41="","PENDING","OK")</x:f>
        <x:v>PENDING</x:v>
      </x:c>
      <x:c r="I41" s="140"/>
      <x:c r="J41" s="140"/>
      <x:c r="K41" s="140"/>
      <x:c r="L41" s="140"/>
      <x:c r="M41" s="140"/>
      <x:c r="N41" s="140"/>
      <x:c r="O41" s="140"/>
      <x:c r="P41" s="140"/>
      <x:c r="Q41" s="140"/>
      <x:c r="R41" s="140"/>
    </x:row>
    <x:row r="42">
      <x:c r="A42" s="130"/>
      <x:c r="B42" s="140" t="str">
        <x:v>Axial capacity Pallow</x:v>
      </x:c>
      <x:c r="C42" s="356" t="str">
        <x:f>IF(OR(C41="",C33=""),"",C41*C33)</x:f>
      </x:c>
      <x:c r="D42" s="356" t="str">
        <x:f>IF(OR(D41="",D33=""),"",D41*D33)</x:f>
      </x:c>
      <x:c r="E42" s="140" t="str">
        <x:v>lb</x:v>
      </x:c>
      <x:c r="F42" s="140" t="str">
        <x:v>Fc′·A</x:v>
      </x:c>
      <x:c r="G42" s="140" t="str">
        <x:v>stress × area</x:v>
      </x:c>
      <x:c r="H42" s="140" t="str">
        <x:f>IF(C42="","PENDING","OK")</x:f>
        <x:v>PENDING</x:v>
      </x:c>
      <x:c r="I42" s="140"/>
      <x:c r="J42" s="140"/>
      <x:c r="K42" s="140"/>
      <x:c r="L42" s="140"/>
      <x:c r="M42" s="140"/>
      <x:c r="N42" s="140"/>
      <x:c r="O42" s="140"/>
      <x:c r="P42" s="140"/>
      <x:c r="Q42" s="140"/>
      <x:c r="R42" s="140"/>
    </x:row>
    <x:row r="43">
      <x:c r="A43" s="130"/>
      <x:c r="B43" s="140" t="str">
        <x:v>Actual axial stress fc</x:v>
      </x:c>
      <x:c r="C43" s="256" t="str">
        <x:f>IF(OR(C15="",C33="",C33=0),"",C15/C33)</x:f>
      </x:c>
      <x:c r="D43" s="256" t="str">
        <x:f>IF(C43="","",C43)</x:f>
      </x:c>
      <x:c r="E43" s="140" t="str">
        <x:v>psi</x:v>
      </x:c>
      <x:c r="F43" s="140" t="str">
        <x:v>P/A</x:v>
      </x:c>
      <x:c r="G43" s="140" t="str">
        <x:v>direct division</x:v>
      </x:c>
      <x:c r="H43" s="140" t="str">
        <x:f>IF(C43="","PENDING","OK")</x:f>
        <x:v>PENDING</x:v>
      </x:c>
      <x:c r="I43" s="140"/>
      <x:c r="J43" s="140"/>
      <x:c r="K43" s="140"/>
      <x:c r="L43" s="140"/>
      <x:c r="M43" s="140"/>
      <x:c r="N43" s="140"/>
      <x:c r="O43" s="140"/>
      <x:c r="P43" s="140"/>
      <x:c r="Q43" s="140"/>
      <x:c r="R43" s="140"/>
    </x:row>
    <x:row r="44">
      <x:c r="A44" s="130"/>
      <x:c r="B44" s="140" t="str">
        <x:v>Utilization</x:v>
      </x:c>
      <x:c r="C44" s="256" t="str">
        <x:f>IF(OR(C43="",C41="",C41=0),"",C43/C41)</x:f>
      </x:c>
      <x:c r="D44" s="256" t="str">
        <x:f>IF(OR(D43="",D41="",D41=0),"",D43/D41)</x:f>
      </x:c>
      <x:c r="E44" s="140"/>
      <x:c r="F44" s="140" t="str">
        <x:v>fc/Fc′</x:v>
      </x:c>
      <x:c r="G44" s="140" t="str">
        <x:f>IF(OR(C15="",C42="",C42=0),"",C15/C42)</x:f>
      </x:c>
      <x:c r="H44" s="140" t="str">
        <x:f>IF(OR(C44="",D44=""),"PENDING",IF(MAX(C44,D44)&lt;=1,"PASS","FAIL"))</x:f>
        <x:v>PENDING</x:v>
      </x:c>
      <x:c r="I44" s="140"/>
      <x:c r="J44" s="140"/>
      <x:c r="K44" s="140"/>
      <x:c r="L44" s="140"/>
      <x:c r="M44" s="140"/>
      <x:c r="N44" s="140"/>
      <x:c r="O44" s="140"/>
      <x:c r="P44" s="140"/>
      <x:c r="Q44" s="140"/>
      <x:c r="R44" s="140"/>
    </x:row>
    <x:row r="45">
      <x:c r="A45" s="130"/>
      <x:c r="B45" s="140"/>
      <x:c r="C45" s="140"/>
      <x:c r="D45" s="140"/>
      <x:c r="E45" s="140"/>
      <x:c r="F45" s="140"/>
      <x:c r="G45" s="140"/>
      <x:c r="H45" s="140"/>
      <x:c r="I45" s="140"/>
      <x:c r="J45" s="140"/>
      <x:c r="K45" s="140"/>
      <x:c r="L45" s="140"/>
      <x:c r="M45" s="140"/>
      <x:c r="N45" s="140"/>
      <x:c r="O45" s="140"/>
      <x:c r="P45" s="140"/>
      <x:c r="Q45" s="140"/>
      <x:c r="R45" s="140"/>
    </x:row>
    <x:row r="46">
      <x:c r="A46" s="130"/>
      <x:c r="B46" s="140"/>
      <x:c r="C46" s="140"/>
      <x:c r="D46" s="140"/>
      <x:c r="E46" s="140"/>
      <x:c r="F46" s="140"/>
      <x:c r="G46" s="140"/>
      <x:c r="H46" s="140"/>
      <x:c r="I46" s="140"/>
      <x:c r="J46" s="140"/>
      <x:c r="K46" s="140"/>
      <x:c r="L46" s="140"/>
      <x:c r="M46" s="140"/>
      <x:c r="N46" s="140"/>
      <x:c r="O46" s="140"/>
      <x:c r="P46" s="140"/>
      <x:c r="Q46" s="140"/>
      <x:c r="R46" s="140"/>
    </x:row>
    <x:row r="47">
      <x:c r="A47" s="130"/>
      <x:c r="B47" s="379" t="str">
        <x:v>STRENGTH / SLENDERNESS SUMMARY</x:v>
      </x:c>
      <x:c r="C47" s="379"/>
      <x:c r="D47" s="379"/>
      <x:c r="E47" s="379"/>
      <x:c r="F47" s="379"/>
      <x:c r="G47" s="379"/>
      <x:c r="H47" s="379"/>
      <x:c r="I47" s="140"/>
      <x:c r="J47" s="140"/>
      <x:c r="K47" s="140"/>
      <x:c r="L47" s="140"/>
      <x:c r="M47" s="140"/>
      <x:c r="N47" s="140"/>
      <x:c r="O47" s="140"/>
      <x:c r="P47" s="140"/>
      <x:c r="Q47" s="140"/>
      <x:c r="R47" s="140"/>
    </x:row>
    <x:row r="48">
      <x:c r="A48" s="130"/>
      <x:c r="B48" s="384" t="str">
        <x:v>Check</x:v>
      </x:c>
      <x:c r="C48" s="384" t="str">
        <x:v>Demand</x:v>
      </x:c>
      <x:c r="D48" s="384" t="str">
        <x:v>Unit</x:v>
      </x:c>
      <x:c r="E48" s="384" t="str">
        <x:v>Capacity / Limit</x:v>
      </x:c>
      <x:c r="F48" s="384" t="str">
        <x:v>Unit</x:v>
      </x:c>
      <x:c r="G48" s="384" t="str">
        <x:v>D/C</x:v>
      </x:c>
      <x:c r="H48" s="384" t="str">
        <x:v>Status</x:v>
      </x:c>
      <x:c r="I48" s="140"/>
      <x:c r="J48" s="140"/>
      <x:c r="K48" s="140"/>
      <x:c r="L48" s="140"/>
      <x:c r="M48" s="140"/>
      <x:c r="N48" s="140"/>
      <x:c r="O48" s="140"/>
      <x:c r="P48" s="140"/>
      <x:c r="Q48" s="140"/>
      <x:c r="R48" s="140"/>
    </x:row>
    <x:row r="49">
      <x:c r="A49" s="130"/>
      <x:c r="B49" s="140" t="str">
        <x:v>Axial Compression — X</x:v>
      </x:c>
      <x:c r="C49" s="356" t="str">
        <x:f>IF(C15="","",C15)</x:f>
      </x:c>
      <x:c r="D49" s="356" t="str">
        <x:v>lb</x:v>
      </x:c>
      <x:c r="E49" s="356" t="str">
        <x:f>C42</x:f>
      </x:c>
      <x:c r="F49" s="256" t="str">
        <x:v>lb</x:v>
      </x:c>
      <x:c r="G49" s="256" t="str">
        <x:f>IF(OR(C49="",E49="",E49=0),"",C49/E49)</x:f>
      </x:c>
      <x:c r="H49" s="140" t="str">
        <x:f>IF(G49="","PENDING",IF(G49&lt;=1,"PASS","FAIL"))</x:f>
        <x:v>PENDING</x:v>
      </x:c>
      <x:c r="I49" s="140"/>
      <x:c r="J49" s="140"/>
      <x:c r="K49" s="140"/>
      <x:c r="L49" s="140"/>
      <x:c r="M49" s="140"/>
      <x:c r="N49" s="140"/>
      <x:c r="O49" s="140"/>
      <x:c r="P49" s="140"/>
      <x:c r="Q49" s="140"/>
      <x:c r="R49" s="140"/>
    </x:row>
    <x:row r="50">
      <x:c r="A50" s="130"/>
      <x:c r="B50" s="140" t="str">
        <x:v>Axial Compression — Y</x:v>
      </x:c>
      <x:c r="C50" s="356" t="str">
        <x:f>IF(C15="","",C15)</x:f>
      </x:c>
      <x:c r="D50" s="356" t="str">
        <x:v>lb</x:v>
      </x:c>
      <x:c r="E50" s="356" t="str">
        <x:f>D42</x:f>
      </x:c>
      <x:c r="F50" s="256" t="str">
        <x:v>lb</x:v>
      </x:c>
      <x:c r="G50" s="256" t="str">
        <x:f>IF(OR(C50="",E50="",E50=0),"",C50/E50)</x:f>
      </x:c>
      <x:c r="H50" s="140" t="str">
        <x:f>IF(G50="","PENDING",IF(G50&lt;=1,"PASS","FAIL"))</x:f>
        <x:v>PENDING</x:v>
      </x:c>
      <x:c r="I50" s="140"/>
      <x:c r="J50" s="140"/>
      <x:c r="K50" s="140"/>
      <x:c r="L50" s="140"/>
      <x:c r="M50" s="140"/>
      <x:c r="N50" s="140"/>
      <x:c r="O50" s="140"/>
      <x:c r="P50" s="140"/>
      <x:c r="Q50" s="140"/>
      <x:c r="R50" s="140"/>
    </x:row>
    <x:row r="51">
      <x:c r="A51" s="130"/>
      <x:c r="B51" s="140" t="str">
        <x:v>Slenderness — X</x:v>
      </x:c>
      <x:c r="C51" s="256" t="n">
        <x:f>C36</x:f>
        <x:v>0</x:v>
      </x:c>
      <x:c r="D51" s="256"/>
      <x:c r="E51" s="256" t="n">
        <x:v>50</x:v>
      </x:c>
      <x:c r="F51" s="256"/>
      <x:c r="G51" s="256" t="str">
        <x:f>IF(C51="","",C51/50)</x:f>
      </x:c>
      <x:c r="H51" s="140" t="str">
        <x:f>IF(C51="","PENDING",IF(C51&lt;=50,"PASS","FAIL"))</x:f>
        <x:v>PENDING</x:v>
      </x:c>
      <x:c r="I51" s="140"/>
      <x:c r="J51" s="140"/>
      <x:c r="K51" s="140"/>
      <x:c r="L51" s="140"/>
      <x:c r="M51" s="140"/>
      <x:c r="N51" s="140"/>
      <x:c r="O51" s="140"/>
      <x:c r="P51" s="140"/>
      <x:c r="Q51" s="140"/>
      <x:c r="R51" s="140"/>
    </x:row>
    <x:row r="52">
      <x:c r="A52" s="130"/>
      <x:c r="B52" s="140" t="str">
        <x:v>Slenderness — Y</x:v>
      </x:c>
      <x:c r="C52" s="256" t="str">
        <x:f>IF(D36="","",D36)</x:f>
      </x:c>
      <x:c r="D52" s="256"/>
      <x:c r="E52" s="256" t="n">
        <x:v>50</x:v>
      </x:c>
      <x:c r="F52" s="256"/>
      <x:c r="G52" s="256" t="str">
        <x:f>IF(C52="","",C52/50)</x:f>
      </x:c>
      <x:c r="H52" s="140" t="str">
        <x:f>IF(C52="","PENDING",IF(C52&lt;=50,"PASS","FAIL"))</x:f>
        <x:v>PENDING</x:v>
      </x:c>
      <x:c r="I52" s="140"/>
      <x:c r="J52" s="140"/>
      <x:c r="K52" s="140"/>
      <x:c r="L52" s="140"/>
      <x:c r="M52" s="140"/>
      <x:c r="N52" s="140"/>
      <x:c r="O52" s="140"/>
      <x:c r="P52" s="140"/>
      <x:c r="Q52" s="140"/>
      <x:c r="R52" s="140"/>
    </x:row>
    <x:row r="53">
      <x:c r="A53" s="130"/>
      <x:c r="B53" s="140" t="str">
        <x:v>Governing Axis</x:v>
      </x:c>
      <x:c r="C53" s="256" t="str">
        <x:f>IF(OR(G49="",G50=""),"",IF(G49&gt;=G50,"X","Y"))</x:f>
      </x:c>
      <x:c r="D53" s="256"/>
      <x:c r="E53" s="256"/>
      <x:c r="F53" s="256"/>
      <x:c r="G53" s="256"/>
      <x:c r="H53" s="140" t="str">
        <x:f>IF(C53="","PENDING","OK")</x:f>
        <x:v>PENDING</x:v>
      </x:c>
      <x:c r="I53" s="140"/>
      <x:c r="J53" s="140"/>
      <x:c r="K53" s="140"/>
      <x:c r="L53" s="140"/>
      <x:c r="M53" s="140"/>
      <x:c r="N53" s="140"/>
      <x:c r="O53" s="140"/>
      <x:c r="P53" s="140"/>
      <x:c r="Q53" s="140"/>
      <x:c r="R53" s="140"/>
    </x:row>
    <x:row r="54">
      <x:c r="A54" s="130"/>
      <x:c r="B54" s="140" t="str">
        <x:v>Governing Fc′</x:v>
      </x:c>
      <x:c r="C54" s="256" t="str">
        <x:f>IF(C53="","",IF(C53="X",C41,D41))</x:f>
      </x:c>
      <x:c r="D54" s="256" t="str">
        <x:v>psi</x:v>
      </x:c>
      <x:c r="E54" s="256"/>
      <x:c r="F54" s="256"/>
      <x:c r="G54" s="256"/>
      <x:c r="H54" s="140" t="str">
        <x:f>IF(C54="","PENDING","OK")</x:f>
        <x:v>PENDING</x:v>
      </x:c>
      <x:c r="I54" s="140"/>
      <x:c r="J54" s="140"/>
      <x:c r="K54" s="140"/>
      <x:c r="L54" s="140"/>
      <x:c r="M54" s="140"/>
      <x:c r="N54" s="140"/>
      <x:c r="O54" s="140"/>
      <x:c r="P54" s="140"/>
      <x:c r="Q54" s="140"/>
      <x:c r="R54" s="140"/>
    </x:row>
    <x:row r="55">
      <x:c r="A55" s="130"/>
      <x:c r="B55" s="140" t="str">
        <x:v>Governing Axial Capacity</x:v>
      </x:c>
      <x:c r="C55" s="356" t="str">
        <x:f>IF(C53="","",IF(C53="X",C42,D42))</x:f>
      </x:c>
      <x:c r="D55" s="256" t="str">
        <x:v>lb</x:v>
      </x:c>
      <x:c r="E55" s="256"/>
      <x:c r="F55" s="256"/>
      <x:c r="G55" s="256"/>
      <x:c r="H55" s="140" t="str">
        <x:f>IF(C55="","PENDING","OK")</x:f>
        <x:v>PENDING</x:v>
      </x:c>
      <x:c r="I55" s="140"/>
      <x:c r="J55" s="140"/>
      <x:c r="K55" s="140"/>
      <x:c r="L55" s="140"/>
      <x:c r="M55" s="140"/>
      <x:c r="N55" s="140"/>
      <x:c r="O55" s="140"/>
      <x:c r="P55" s="140"/>
      <x:c r="Q55" s="140"/>
      <x:c r="R55" s="140"/>
    </x:row>
    <x:row r="56">
      <x:c r="A56" s="130"/>
      <x:c r="B56" s="140" t="str">
        <x:v>Overall Utilization</x:v>
      </x:c>
      <x:c r="C56" s="256" t="str">
        <x:f>IF(OR(G49="",G50=""),"",MAX(G49,G50))</x:f>
      </x:c>
      <x:c r="D56" s="256"/>
      <x:c r="E56" s="256" t="n">
        <x:v>1</x:v>
      </x:c>
      <x:c r="F56" s="256"/>
      <x:c r="G56" s="256" t="n">
        <x:f>C56</x:f>
        <x:v>0</x:v>
      </x:c>
      <x:c r="H56" s="140" t="str">
        <x:f>IF(C56="","PENDING",IF(AND(C56&lt;=1,H51="PASS",H52="PASS"),"PASS","FAIL"))</x:f>
        <x:v>PENDING</x:v>
      </x:c>
      <x:c r="I56" s="140"/>
      <x:c r="J56" s="140"/>
      <x:c r="K56" s="140"/>
      <x:c r="L56" s="140"/>
      <x:c r="M56" s="140"/>
      <x:c r="N56" s="140"/>
      <x:c r="O56" s="140"/>
      <x:c r="P56" s="140"/>
      <x:c r="Q56" s="140"/>
      <x:c r="R56" s="140"/>
    </x:row>
    <x:row r="57">
      <x:c r="A57" s="130"/>
      <x:c r="B57" s="140"/>
      <x:c r="C57" s="140"/>
      <x:c r="D57" s="140"/>
      <x:c r="E57" s="140"/>
      <x:c r="F57" s="140"/>
      <x:c r="G57" s="140"/>
      <x:c r="H57" s="140"/>
      <x:c r="I57" s="140"/>
      <x:c r="J57" s="140"/>
      <x:c r="K57" s="140"/>
      <x:c r="L57" s="140"/>
      <x:c r="M57" s="140"/>
      <x:c r="N57" s="140"/>
      <x:c r="O57" s="140"/>
      <x:c r="P57" s="140"/>
      <x:c r="Q57" s="140"/>
      <x:c r="R57" s="140"/>
    </x:row>
    <x:row r="58">
      <x:c r="A58" s="130"/>
      <x:c r="B58" s="140"/>
      <x:c r="C58" s="140"/>
      <x:c r="D58" s="140"/>
      <x:c r="E58" s="140"/>
      <x:c r="F58" s="140"/>
      <x:c r="G58" s="140"/>
      <x:c r="H58" s="140"/>
      <x:c r="I58" s="140"/>
      <x:c r="J58" s="140"/>
      <x:c r="K58" s="140"/>
      <x:c r="L58" s="140"/>
      <x:c r="M58" s="140"/>
      <x:c r="N58" s="140"/>
      <x:c r="O58" s="140"/>
      <x:c r="P58" s="140"/>
      <x:c r="Q58" s="140"/>
      <x:c r="R58" s="140"/>
    </x:row>
    <x:row r="59">
      <x:c r="A59" s="130"/>
      <x:c r="B59" s="379" t="str">
        <x:v>SCOPE / ENGINEERING REVIEW GATES</x:v>
      </x:c>
      <x:c r="C59" s="379"/>
      <x:c r="D59" s="379"/>
      <x:c r="E59" s="379"/>
      <x:c r="F59" s="379"/>
      <x:c r="G59" s="379"/>
      <x:c r="H59" s="379"/>
      <x:c r="I59" s="140"/>
      <x:c r="J59" s="140"/>
      <x:c r="K59" s="140"/>
      <x:c r="L59" s="140"/>
      <x:c r="M59" s="140"/>
      <x:c r="N59" s="140"/>
      <x:c r="O59" s="140"/>
      <x:c r="P59" s="140"/>
      <x:c r="Q59" s="140"/>
      <x:c r="R59" s="140"/>
    </x:row>
    <x:row r="60">
      <x:c r="A60" s="130"/>
      <x:c r="B60" s="384" t="str">
        <x:v>Control</x:v>
      </x:c>
      <x:c r="C60" s="384" t="str">
        <x:v>Status</x:v>
      </x:c>
      <x:c r="D60" s="384" t="str">
        <x:v>Reason / Required Action</x:v>
      </x:c>
      <x:c r="E60" s="384"/>
      <x:c r="F60" s="384"/>
      <x:c r="G60" s="384"/>
      <x:c r="H60" s="384"/>
      <x:c r="I60" s="140"/>
      <x:c r="J60" s="140"/>
      <x:c r="K60" s="140"/>
      <x:c r="L60" s="140"/>
      <x:c r="M60" s="140"/>
      <x:c r="N60" s="140"/>
      <x:c r="O60" s="140"/>
      <x:c r="P60" s="140"/>
      <x:c r="Q60" s="140"/>
      <x:c r="R60" s="140"/>
    </x:row>
    <x:row r="61" ht="32" customHeight="1">
      <x:c r="A61" s="130"/>
      <x:c r="B61" s="140" t="str">
        <x:v>Combined bending / eccentricity</x:v>
      </x:c>
      <x:c r="C61" s="140" t="str">
        <x:f>IF('01_INPUTS'!C170="","REVIEW",IF('01_INPUTS'!C170="YES","REVIEW","PASS"))</x:f>
        <x:v>REVIEW</x:v>
      </x:c>
      <x:c r="D61" s="140" t="str">
        <x:v>Current engine is concentric axial compression only. If YES in Inputs, apply NDS combined stress interaction provisions.</x:v>
      </x:c>
      <x:c r="E61" s="140"/>
      <x:c r="F61" s="140"/>
      <x:c r="G61" s="140"/>
      <x:c r="H61" s="140"/>
      <x:c r="I61" s="140"/>
      <x:c r="J61" s="140"/>
      <x:c r="K61" s="140"/>
      <x:c r="L61" s="140"/>
      <x:c r="M61" s="140"/>
      <x:c r="N61" s="140"/>
      <x:c r="O61" s="140"/>
      <x:c r="P61" s="140"/>
      <x:c r="Q61" s="140"/>
      <x:c r="R61" s="140"/>
    </x:row>
    <x:row r="62" ht="32" customHeight="1">
      <x:c r="A62" s="130"/>
      <x:c r="B62" s="140" t="str">
        <x:v>End conditions / Ke</x:v>
      </x:c>
      <x:c r="C62" s="140" t="str">
        <x:v>REVIEW</x:v>
      </x:c>
      <x:c r="D62" s="140" t="str">
        <x:v>Ke values must reflect actual end restraint or a defensible mechanics model; preserve source/judgment record.</x:v>
      </x:c>
      <x:c r="E62" s="140"/>
      <x:c r="F62" s="140"/>
      <x:c r="G62" s="140"/>
      <x:c r="H62" s="140"/>
      <x:c r="I62" s="140"/>
      <x:c r="J62" s="140"/>
      <x:c r="K62" s="140"/>
      <x:c r="L62" s="140"/>
      <x:c r="M62" s="140"/>
      <x:c r="N62" s="140"/>
      <x:c r="O62" s="140"/>
      <x:c r="P62" s="140"/>
      <x:c r="Q62" s="140"/>
      <x:c r="R62" s="140"/>
    </x:row>
    <x:row r="63" ht="32" customHeight="1">
      <x:c r="A63" s="130"/>
      <x:c r="B63" s="140" t="str">
        <x:v>Built-up / multi-ply columns</x:v>
      </x:c>
      <x:c r="C63" s="140" t="str">
        <x:v>PENDING</x:v>
      </x:c>
      <x:c r="D63" s="140" t="str">
        <x:v>Current engine is for a solid member. Built-up column provisions require separate connection/stability treatment.</x:v>
      </x:c>
      <x:c r="E63" s="140"/>
      <x:c r="F63" s="140"/>
      <x:c r="G63" s="140"/>
      <x:c r="H63" s="140"/>
      <x:c r="I63" s="140"/>
      <x:c r="J63" s="140"/>
      <x:c r="K63" s="140"/>
      <x:c r="L63" s="140"/>
      <x:c r="M63" s="140"/>
      <x:c r="N63" s="140"/>
      <x:c r="O63" s="140"/>
      <x:c r="P63" s="140"/>
      <x:c r="Q63" s="140"/>
      <x:c r="R63" s="140"/>
    </x:row>
    <x:row r="64" ht="32" customHeight="1">
      <x:c r="A64" s="130"/>
      <x:c r="B64" s="140" t="str">
        <x:v>Notches / holes / reductions</x:v>
      </x:c>
      <x:c r="C64" s="140" t="str">
        <x:v>REVIEW</x:v>
      </x:c>
      <x:c r="D64" s="140" t="str">
        <x:v>Net-section and local stress effects are not automated.</x:v>
      </x:c>
      <x:c r="E64" s="140"/>
      <x:c r="F64" s="140"/>
      <x:c r="G64" s="140"/>
      <x:c r="H64" s="140"/>
      <x:c r="I64" s="140"/>
      <x:c r="J64" s="140"/>
      <x:c r="K64" s="140"/>
      <x:c r="L64" s="140"/>
      <x:c r="M64" s="140"/>
      <x:c r="N64" s="140"/>
      <x:c r="O64" s="140"/>
      <x:c r="P64" s="140"/>
      <x:c r="Q64" s="140"/>
      <x:c r="R64" s="140"/>
    </x:row>
    <x:row r="65" ht="32" customHeight="1">
      <x:c r="A65" s="130"/>
      <x:c r="B65" s="140" t="str">
        <x:v>Bearing / connections</x:v>
      </x:c>
      <x:c r="C65" s="140" t="str">
        <x:v>PENDING</x:v>
      </x:c>
      <x:c r="D65" s="140" t="str">
        <x:v>Top/bottom bearing, post caps, anchors, and fasteners will be integrated with connection/foundation modules.</x:v>
      </x:c>
      <x:c r="E65" s="140"/>
      <x:c r="F65" s="140"/>
      <x:c r="G65" s="140"/>
      <x:c r="H65" s="140"/>
      <x:c r="I65" s="140"/>
      <x:c r="J65" s="140"/>
      <x:c r="K65" s="140"/>
      <x:c r="L65" s="140"/>
      <x:c r="M65" s="140"/>
      <x:c r="N65" s="140"/>
      <x:c r="O65" s="140"/>
      <x:c r="P65" s="140"/>
      <x:c r="Q65" s="140"/>
      <x:c r="R65" s="140"/>
    </x:row>
    <x:row r="66" ht="32" customHeight="1">
      <x:c r="A66" s="130"/>
      <x:c r="B66" s="140" t="str">
        <x:v>Fire / treatment / durability</x:v>
      </x:c>
      <x:c r="C66" s="140" t="str">
        <x:v>REVIEW</x:v>
      </x:c>
      <x:c r="D66" s="140" t="str">
        <x:v>Project-specific treatment and exposure can modify design values; verify source records.</x:v>
      </x:c>
      <x:c r="E66" s="140"/>
      <x:c r="F66" s="140"/>
      <x:c r="G66" s="140"/>
      <x:c r="H66" s="140"/>
      <x:c r="I66" s="140"/>
      <x:c r="J66" s="140"/>
      <x:c r="K66" s="140"/>
      <x:c r="L66" s="140"/>
      <x:c r="M66" s="140"/>
      <x:c r="N66" s="140"/>
      <x:c r="O66" s="140"/>
      <x:c r="P66" s="140"/>
      <x:c r="Q66" s="140"/>
      <x:c r="R66" s="140"/>
    </x:row>
    <x:row r="67" ht="32" customHeight="1">
      <x:c r="A67" s="130"/>
      <x:c r="B67" s="140" t="str">
        <x:v>Load path / demand source</x:v>
      </x:c>
      <x:c r="C67" s="140" t="str">
        <x:v>REVIEW</x:v>
      </x:c>
      <x:c r="D67" s="140" t="str">
        <x:v>Axial demand must be traceable to load combinations and tributary load path.</x:v>
      </x:c>
      <x:c r="E67" s="140"/>
      <x:c r="F67" s="140"/>
      <x:c r="G67" s="140"/>
      <x:c r="H67" s="140"/>
      <x:c r="I67" s="140"/>
      <x:c r="J67" s="140"/>
      <x:c r="K67" s="140"/>
      <x:c r="L67" s="140"/>
      <x:c r="M67" s="140"/>
      <x:c r="N67" s="140"/>
      <x:c r="O67" s="140"/>
      <x:c r="P67" s="140"/>
      <x:c r="Q67" s="140"/>
      <x:c r="R67" s="140"/>
    </x:row>
  </x:sheetData>
  <x:mergeCells>
    <x:mergeCell ref="B2:J2"/>
    <x:mergeCell ref="M2:R2"/>
    <x:mergeCell ref="B4:J4"/>
    <x:mergeCell ref="B6:F6"/>
    <x:mergeCell ref="H6:J6"/>
    <x:mergeCell ref="B25:H25"/>
    <x:mergeCell ref="B31:H31"/>
    <x:mergeCell ref="B47:H47"/>
    <x:mergeCell ref="B59:H59"/>
    <x:mergeCell ref="M15:R16"/>
    <x:mergeCell ref="D60:H60"/>
    <x:mergeCell ref="D61:H61"/>
    <x:mergeCell ref="D62:H62"/>
    <x:mergeCell ref="D63:H63"/>
    <x:mergeCell ref="D64:H64"/>
    <x:mergeCell ref="D65:H65"/>
    <x:mergeCell ref="D66:H66"/>
    <x:mergeCell ref="D67:H67"/>
  </x:mergeCells>
  <x:conditionalFormatting sqref="F8:F23">
    <x:cfRule type="expression" dxfId="64" priority="1">
      <x:formula>OR(F8="PASS",F8="OK",F8="COMPLETE")</x:formula>
    </x:cfRule>
    <x:cfRule type="expression" dxfId="65" priority="2">
      <x:formula>F8="FAIL"</x:formula>
    </x:cfRule>
    <x:cfRule type="expression" dxfId="66" priority="3">
      <x:formula>OR(F8="REVIEW",F8="PENDING")</x:formula>
    </x:cfRule>
  </x:conditionalFormatting>
  <x:conditionalFormatting sqref="I7:I12">
    <x:cfRule type="expression" dxfId="67" priority="4">
      <x:formula>OR(I7="PASS",I7="OK",I7="COMPLETE")</x:formula>
    </x:cfRule>
    <x:cfRule type="expression" dxfId="68" priority="5">
      <x:formula>I7="FAIL"</x:formula>
    </x:cfRule>
    <x:cfRule type="expression" dxfId="69" priority="6">
      <x:formula>OR(I7="REVIEW",I7="PENDING")</x:formula>
    </x:cfRule>
  </x:conditionalFormatting>
  <x:conditionalFormatting sqref="H27:H29">
    <x:cfRule type="expression" dxfId="70" priority="7">
      <x:formula>OR(H27="PASS",H27="OK",H27="COMPLETE")</x:formula>
    </x:cfRule>
    <x:cfRule type="expression" dxfId="71" priority="8">
      <x:formula>H27="FAIL"</x:formula>
    </x:cfRule>
    <x:cfRule type="expression" dxfId="72" priority="9">
      <x:formula>OR(H27="REVIEW",H27="PENDING")</x:formula>
    </x:cfRule>
  </x:conditionalFormatting>
  <x:conditionalFormatting sqref="H33:H44">
    <x:cfRule type="expression" dxfId="73" priority="10">
      <x:formula>OR(H33="PASS",H33="OK",H33="COMPLETE")</x:formula>
    </x:cfRule>
    <x:cfRule type="expression" dxfId="74" priority="11">
      <x:formula>H33="FAIL"</x:formula>
    </x:cfRule>
    <x:cfRule type="expression" dxfId="75" priority="12">
      <x:formula>OR(H33="REVIEW",H33="PENDING")</x:formula>
    </x:cfRule>
  </x:conditionalFormatting>
  <x:conditionalFormatting sqref="H49:H56">
    <x:cfRule type="expression" dxfId="76" priority="13">
      <x:formula>OR(H49="PASS",H49="OK",H49="COMPLETE")</x:formula>
    </x:cfRule>
    <x:cfRule type="expression" dxfId="77" priority="14">
      <x:formula>H49="FAIL"</x:formula>
    </x:cfRule>
    <x:cfRule type="expression" dxfId="78" priority="15">
      <x:formula>OR(H49="REVIEW",H49="PENDING")</x:formula>
    </x:cfRule>
  </x:conditionalFormatting>
  <x:conditionalFormatting sqref="C61:C67">
    <x:cfRule type="expression" dxfId="79" priority="16">
      <x:formula>OR(C61="PASS",C61="OK",C61="COMPLETE")</x:formula>
    </x:cfRule>
    <x:cfRule type="expression" dxfId="80" priority="17">
      <x:formula>C61="FAIL"</x:formula>
    </x:cfRule>
    <x:cfRule type="expression" dxfId="81" priority="18">
      <x:formula>OR(C61="REVIEW",C61="PENDING")</x:formula>
    </x:cfRule>
  </x:conditionalFormatting>
  <x:conditionalFormatting sqref="R4:R13">
    <x:cfRule type="expression" dxfId="82" priority="19">
      <x:formula>OR(R4="PASS",R4="OK",R4="COMPLETE")</x:formula>
    </x:cfRule>
    <x:cfRule type="expression" dxfId="83" priority="20">
      <x:formula>R4="FAIL"</x:formula>
    </x:cfRule>
    <x:cfRule type="expression" dxfId="84" priority="21">
      <x:formula>OR(R4="REVIEW",R4="PENDING")</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3" hidden="0" customWidth="1"/>
    <x:col min="2" max="2" width="9" hidden="0" customWidth="1"/>
    <x:col min="3" max="3" width="24" hidden="0" customWidth="1"/>
    <x:col min="4" max="4" width="43" hidden="0" customWidth="1"/>
    <x:col min="5" max="5" width="18" hidden="0" customWidth="1"/>
    <x:col min="6" max="6" width="10" hidden="0" customWidth="1"/>
    <x:col min="7" max="7" width="29" hidden="0" customWidth="1"/>
    <x:col min="8" max="8" width="13" hidden="0" customWidth="1"/>
    <x:col min="9" max="9" width="14" hidden="0" customWidth="1"/>
  </x:cols>
  <x:sheetData>
    <x:row r="1">
      <x:c r="A1" s="130"/>
      <x:c r="B1" s="130"/>
      <x:c r="C1" s="130"/>
      <x:c r="D1" s="130"/>
      <x:c r="E1" s="130"/>
      <x:c r="F1" s="130"/>
      <x:c r="G1" s="130"/>
      <x:c r="H1" s="130"/>
      <x:c r="I1" s="130"/>
    </x:row>
    <x:row r="2">
      <x:c r="A2" s="130"/>
      <x:c r="B2" s="379" t="str">
        <x:v>LONGHAND CALCULATION — WOOD COLUMN / POST</x:v>
      </x:c>
      <x:c r="C2" s="379"/>
      <x:c r="D2" s="379"/>
      <x:c r="E2" s="379"/>
      <x:c r="F2" s="379"/>
      <x:c r="G2" s="379"/>
      <x:c r="H2" s="379"/>
      <x:c r="I2" s="379"/>
    </x:row>
    <x:row r="3">
      <x:c r="A3" s="130"/>
      <x:c r="B3" s="140"/>
      <x:c r="C3" s="140"/>
      <x:c r="D3" s="140"/>
      <x:c r="E3" s="140"/>
      <x:c r="F3" s="140"/>
      <x:c r="G3" s="140"/>
      <x:c r="H3" s="140"/>
      <x:c r="I3" s="140"/>
    </x:row>
    <x:row r="4" ht="40" customHeight="1">
      <x:c r="A4" s="130"/>
      <x:c r="B4" s="381" t="str">
        <x:v>Printable audit trail for the axial-compression column engine. Each line shows the equation, workbook result, source basis, and comparison to the controlled calculation sheet. Combined bending/eccentricity remains outside this axial-only trace.</x:v>
      </x:c>
      <x:c r="C4" s="381"/>
      <x:c r="D4" s="381"/>
      <x:c r="E4" s="381"/>
      <x:c r="F4" s="381"/>
      <x:c r="G4" s="381"/>
      <x:c r="H4" s="381"/>
      <x:c r="I4" s="381"/>
    </x:row>
    <x:row r="5">
      <x:c r="A5" s="130"/>
      <x:c r="B5" s="140"/>
      <x:c r="C5" s="140"/>
      <x:c r="D5" s="140"/>
      <x:c r="E5" s="140"/>
      <x:c r="F5" s="140"/>
      <x:c r="G5" s="140"/>
      <x:c r="H5" s="140"/>
      <x:c r="I5" s="140"/>
    </x:row>
    <x:row r="6">
      <x:c r="A6" s="130"/>
      <x:c r="B6" s="384" t="str">
        <x:v>Step</x:v>
      </x:c>
      <x:c r="C6" s="384" t="str">
        <x:v>Quantity</x:v>
      </x:c>
      <x:c r="D6" s="384" t="str">
        <x:v>Equation / Substitution</x:v>
      </x:c>
      <x:c r="E6" s="384" t="str">
        <x:v>Result</x:v>
      </x:c>
      <x:c r="F6" s="384" t="str">
        <x:v>Unit</x:v>
      </x:c>
      <x:c r="G6" s="384" t="str">
        <x:v>Source / Basis</x:v>
      </x:c>
      <x:c r="H6" s="384" t="str">
        <x:v>Check</x:v>
      </x:c>
      <x:c r="I6" s="384" t="str">
        <x:v>Status</x:v>
      </x:c>
    </x:row>
    <x:row r="7">
      <x:c r="A7" s="130"/>
      <x:c r="B7" s="140" t="n">
        <x:v>1</x:v>
      </x:c>
      <x:c r="C7" s="140" t="str">
        <x:v>Area</x:v>
      </x:c>
      <x:c r="D7" s="140" t="str">
        <x:v>A = b·d</x:v>
      </x:c>
      <x:c r="E7" s="140" t="str">
        <x:f>IF('22_WOOD_COLUMN'!C33="","",'22_WOOD_COLUMN'!C33)</x:f>
      </x:c>
      <x:c r="F7" s="140" t="str">
        <x:v>in²</x:v>
      </x:c>
      <x:c r="G7" s="140" t="str">
        <x:v>Geometry</x:v>
      </x:c>
      <x:c r="H7" s="140" t="str">
        <x:f>IF(E7="","",ABS(E7-'22_WOOD_COLUMN'!C33))</x:f>
      </x:c>
      <x:c r="I7" s="140" t="str">
        <x:f>IF(E7="","PENDING",IF(H7&lt;=0.0001,"PASS","FAIL"))</x:f>
        <x:v>PENDING</x:v>
      </x:c>
    </x:row>
    <x:row r="8">
      <x:c r="A8" s="130"/>
      <x:c r="B8" s="140" t="n">
        <x:v>2</x:v>
      </x:c>
      <x:c r="C8" s="140" t="str">
        <x:v>Effective length X</x:v>
      </x:c>
      <x:c r="D8" s="140" t="str">
        <x:v>ℓe,x = Ke,x·Lx</x:v>
      </x:c>
      <x:c r="E8" s="140" t="str">
        <x:f>IF('22_WOOD_COLUMN'!C34="","",'22_WOOD_COLUMN'!C34)</x:f>
      </x:c>
      <x:c r="F8" s="140" t="str">
        <x:v>in</x:v>
      </x:c>
      <x:c r="G8" s="140" t="str">
        <x:v>NDS / engineering mechanics</x:v>
      </x:c>
      <x:c r="H8" s="140" t="str">
        <x:f>IF(E8="","",ABS(E8-'22_WOOD_COLUMN'!C34))</x:f>
      </x:c>
      <x:c r="I8" s="140" t="str">
        <x:f>IF(E8="","PENDING",IF(H8&lt;=0.0001,"PASS","FAIL"))</x:f>
        <x:v>PENDING</x:v>
      </x:c>
    </x:row>
    <x:row r="9">
      <x:c r="A9" s="130"/>
      <x:c r="B9" s="140" t="n">
        <x:v>3</x:v>
      </x:c>
      <x:c r="C9" s="140" t="str">
        <x:v>Effective length Y</x:v>
      </x:c>
      <x:c r="D9" s="140" t="str">
        <x:v>ℓe,y = Ke,y·Ly</x:v>
      </x:c>
      <x:c r="E9" s="140" t="str">
        <x:f>IF('22_WOOD_COLUMN'!D34="","",'22_WOOD_COLUMN'!D34)</x:f>
      </x:c>
      <x:c r="F9" s="140" t="str">
        <x:v>in</x:v>
      </x:c>
      <x:c r="G9" s="140" t="str">
        <x:v>NDS / engineering mechanics</x:v>
      </x:c>
      <x:c r="H9" s="140" t="str">
        <x:f>IF(E9="","",ABS(E9-'22_WOOD_COLUMN'!D34))</x:f>
      </x:c>
      <x:c r="I9" s="140" t="str">
        <x:f>IF(E9="","PENDING",IF(H9&lt;=0.0001,"PASS","FAIL"))</x:f>
        <x:v>PENDING</x:v>
      </x:c>
    </x:row>
    <x:row r="10">
      <x:c r="A10" s="130"/>
      <x:c r="B10" s="140" t="n">
        <x:v>4</x:v>
      </x:c>
      <x:c r="C10" s="140" t="str">
        <x:v>Slenderness X</x:v>
      </x:c>
      <x:c r="D10" s="140" t="str">
        <x:v>λx = ℓe,x/d</x:v>
      </x:c>
      <x:c r="E10" s="140" t="str">
        <x:f>IF('22_WOOD_COLUMN'!C36="","",'22_WOOD_COLUMN'!C36)</x:f>
      </x:c>
      <x:c r="F10" s="140"/>
      <x:c r="G10" s="140" t="str">
        <x:v>NDS 2024 §3.7.1</x:v>
      </x:c>
      <x:c r="H10" s="140" t="str">
        <x:f>IF(E10="","",ABS(E10-'22_WOOD_COLUMN'!C36))</x:f>
      </x:c>
      <x:c r="I10" s="140" t="str">
        <x:f>IF(E10="","PENDING",IF(H10&lt;=0.0001,"PASS","FAIL"))</x:f>
        <x:v>PENDING</x:v>
      </x:c>
    </x:row>
    <x:row r="11">
      <x:c r="A11" s="130"/>
      <x:c r="B11" s="140" t="n">
        <x:v>5</x:v>
      </x:c>
      <x:c r="C11" s="140" t="str">
        <x:v>Slenderness Y</x:v>
      </x:c>
      <x:c r="D11" s="140" t="str">
        <x:v>λy = ℓe,y/b</x:v>
      </x:c>
      <x:c r="E11" s="140" t="str">
        <x:f>IF('22_WOOD_COLUMN'!D36="","",'22_WOOD_COLUMN'!D36)</x:f>
      </x:c>
      <x:c r="F11" s="140"/>
      <x:c r="G11" s="140" t="str">
        <x:v>NDS 2024 §3.7.1</x:v>
      </x:c>
      <x:c r="H11" s="140" t="str">
        <x:f>IF(E11="","",ABS(E11-'22_WOOD_COLUMN'!D36))</x:f>
      </x:c>
      <x:c r="I11" s="140" t="str">
        <x:f>IF(E11="","PENDING",IF(H11&lt;=0.0001,"PASS","FAIL"))</x:f>
        <x:v>PENDING</x:v>
      </x:c>
    </x:row>
    <x:row r="12">
      <x:c r="A12" s="130"/>
      <x:c r="B12" s="140" t="n">
        <x:v>6</x:v>
      </x:c>
      <x:c r="C12" s="140" t="str">
        <x:v>Adjusted Fc*</x:v>
      </x:c>
      <x:c r="D12" s="140" t="str">
        <x:v>Fc* = Fc·CD·CM·Ct·CF·Ci</x:v>
      </x:c>
      <x:c r="E12" s="140" t="str">
        <x:f>IF('22_WOOD_COLUMN'!E27="","",'22_WOOD_COLUMN'!E27)</x:f>
      </x:c>
      <x:c r="F12" s="140" t="str">
        <x:v>psi</x:v>
      </x:c>
      <x:c r="G12" s="140" t="str">
        <x:v>NDS 2024; Cp excluded</x:v>
      </x:c>
      <x:c r="H12" s="140" t="str">
        <x:f>IF(E12="","",ABS(E12-'22_WOOD_COLUMN'!E27))</x:f>
      </x:c>
      <x:c r="I12" s="140" t="str">
        <x:f>IF(E12="","PENDING",IF(H12&lt;=0.0001,"PASS","FAIL"))</x:f>
        <x:v>PENDING</x:v>
      </x:c>
    </x:row>
    <x:row r="13">
      <x:c r="A13" s="130"/>
      <x:c r="B13" s="140" t="n">
        <x:v>7</x:v>
      </x:c>
      <x:c r="C13" s="140" t="str">
        <x:v>Adjusted Emin′</x:v>
      </x:c>
      <x:c r="D13" s="140" t="str">
        <x:v>Emin′ = Emin·CM·Ct·Ci·CT</x:v>
      </x:c>
      <x:c r="E13" s="140" t="str">
        <x:f>IF('22_WOOD_COLUMN'!E28="","",'22_WOOD_COLUMN'!E28)</x:f>
      </x:c>
      <x:c r="F13" s="140" t="str">
        <x:v>psi</x:v>
      </x:c>
      <x:c r="G13" s="140" t="str">
        <x:v>NDS 2024 stability factors</x:v>
      </x:c>
      <x:c r="H13" s="140" t="str">
        <x:f>IF(E13="","",ABS(E13-'22_WOOD_COLUMN'!E28))</x:f>
      </x:c>
      <x:c r="I13" s="140" t="str">
        <x:f>IF(E13="","PENDING",IF(H13&lt;=0.0001,"PASS","FAIL"))</x:f>
        <x:v>PENDING</x:v>
      </x:c>
    </x:row>
    <x:row r="14">
      <x:c r="A14" s="130"/>
      <x:c r="B14" s="140" t="n">
        <x:v>8</x:v>
      </x:c>
      <x:c r="C14" s="140" t="str">
        <x:v>Euler stress X</x:v>
      </x:c>
      <x:c r="D14" s="140" t="str">
        <x:v>FcE,x = 0.822·Emin′/λx²</x:v>
      </x:c>
      <x:c r="E14" s="140" t="str">
        <x:f>IF('22_WOOD_COLUMN'!C38="","",'22_WOOD_COLUMN'!C38)</x:f>
      </x:c>
      <x:c r="F14" s="140" t="str">
        <x:v>psi</x:v>
      </x:c>
      <x:c r="G14" s="140" t="str">
        <x:v>NDS 2024 Eq. 3.7-1 basis</x:v>
      </x:c>
      <x:c r="H14" s="140" t="str">
        <x:f>IF(E14="","",ABS(E14-'22_WOOD_COLUMN'!C38))</x:f>
      </x:c>
      <x:c r="I14" s="140" t="str">
        <x:f>IF(E14="","PENDING",IF(H14&lt;=0.0001,"PASS","FAIL"))</x:f>
        <x:v>PENDING</x:v>
      </x:c>
    </x:row>
    <x:row r="15">
      <x:c r="A15" s="130"/>
      <x:c r="B15" s="140" t="n">
        <x:v>9</x:v>
      </x:c>
      <x:c r="C15" s="140" t="str">
        <x:v>Euler stress Y</x:v>
      </x:c>
      <x:c r="D15" s="140" t="str">
        <x:v>FcE,y = 0.822·Emin′/λy²</x:v>
      </x:c>
      <x:c r="E15" s="140" t="str">
        <x:f>IF('22_WOOD_COLUMN'!D38="","",'22_WOOD_COLUMN'!D38)</x:f>
      </x:c>
      <x:c r="F15" s="140" t="str">
        <x:v>psi</x:v>
      </x:c>
      <x:c r="G15" s="140" t="str">
        <x:v>NDS 2024 Eq. 3.7-1 basis</x:v>
      </x:c>
      <x:c r="H15" s="140" t="str">
        <x:f>IF(E15="","",ABS(E15-'22_WOOD_COLUMN'!D38))</x:f>
      </x:c>
      <x:c r="I15" s="140" t="str">
        <x:f>IF(E15="","PENDING",IF(H15&lt;=0.0001,"PASS","FAIL"))</x:f>
        <x:v>PENDING</x:v>
      </x:c>
    </x:row>
    <x:row r="16">
      <x:c r="A16" s="130"/>
      <x:c r="B16" s="140" t="n">
        <x:v>10</x:v>
      </x:c>
      <x:c r="C16" s="140" t="str">
        <x:v>Cp — X</x:v>
      </x:c>
      <x:c r="D16" s="140" t="str">
        <x:v>Cp equation using FcE,x/Fc*</x:v>
      </x:c>
      <x:c r="E16" s="140" t="str">
        <x:f>IF('22_WOOD_COLUMN'!C40="","",'22_WOOD_COLUMN'!C40)</x:f>
      </x:c>
      <x:c r="F16" s="140"/>
      <x:c r="G16" s="140" t="str">
        <x:v>NDS 2024 Eq. 3.7-1</x:v>
      </x:c>
      <x:c r="H16" s="140" t="str">
        <x:f>IF(E16="","",ABS(E16-'22_WOOD_COLUMN'!C40))</x:f>
      </x:c>
      <x:c r="I16" s="140" t="str">
        <x:f>IF(E16="","PENDING",IF(H16&lt;=0.0001,"PASS","FAIL"))</x:f>
        <x:v>PENDING</x:v>
      </x:c>
    </x:row>
    <x:row r="17">
      <x:c r="A17" s="130"/>
      <x:c r="B17" s="140" t="n">
        <x:v>11</x:v>
      </x:c>
      <x:c r="C17" s="140" t="str">
        <x:v>Cp — Y</x:v>
      </x:c>
      <x:c r="D17" s="140" t="str">
        <x:v>Cp equation using FcE,y/Fc*</x:v>
      </x:c>
      <x:c r="E17" s="140" t="str">
        <x:f>IF('22_WOOD_COLUMN'!D40="","",'22_WOOD_COLUMN'!D40)</x:f>
      </x:c>
      <x:c r="F17" s="140"/>
      <x:c r="G17" s="140" t="str">
        <x:v>NDS 2024 Eq. 3.7-1</x:v>
      </x:c>
      <x:c r="H17" s="140" t="str">
        <x:f>IF(E17="","",ABS(E17-'22_WOOD_COLUMN'!D40))</x:f>
      </x:c>
      <x:c r="I17" s="140" t="str">
        <x:f>IF(E17="","PENDING",IF(H17&lt;=0.0001,"PASS","FAIL"))</x:f>
        <x:v>PENDING</x:v>
      </x:c>
    </x:row>
    <x:row r="18">
      <x:c r="A18" s="130"/>
      <x:c r="B18" s="140" t="n">
        <x:v>12</x:v>
      </x:c>
      <x:c r="C18" s="140" t="str">
        <x:v>Adjusted Fc′ — X</x:v>
      </x:c>
      <x:c r="D18" s="140" t="str">
        <x:v>Fc′x = Fc*·Cp,x</x:v>
      </x:c>
      <x:c r="E18" s="140" t="str">
        <x:f>IF('22_WOOD_COLUMN'!C41="","",'22_WOOD_COLUMN'!C41)</x:f>
      </x:c>
      <x:c r="F18" s="140" t="str">
        <x:v>psi</x:v>
      </x:c>
      <x:c r="G18" s="140" t="str">
        <x:v>NDS 2024</x:v>
      </x:c>
      <x:c r="H18" s="140" t="str">
        <x:f>IF(E18="","",ABS(E18-'22_WOOD_COLUMN'!C41))</x:f>
      </x:c>
      <x:c r="I18" s="140" t="str">
        <x:f>IF(E18="","PENDING",IF(H18&lt;=0.0001,"PASS","FAIL"))</x:f>
        <x:v>PENDING</x:v>
      </x:c>
    </x:row>
    <x:row r="19">
      <x:c r="A19" s="130"/>
      <x:c r="B19" s="140" t="n">
        <x:v>13</x:v>
      </x:c>
      <x:c r="C19" s="140" t="str">
        <x:v>Adjusted Fc′ — Y</x:v>
      </x:c>
      <x:c r="D19" s="140" t="str">
        <x:v>Fc′y = Fc*·Cp,y</x:v>
      </x:c>
      <x:c r="E19" s="140" t="str">
        <x:f>IF('22_WOOD_COLUMN'!D41="","",'22_WOOD_COLUMN'!D41)</x:f>
      </x:c>
      <x:c r="F19" s="140" t="str">
        <x:v>psi</x:v>
      </x:c>
      <x:c r="G19" s="140" t="str">
        <x:v>NDS 2024</x:v>
      </x:c>
      <x:c r="H19" s="140" t="str">
        <x:f>IF(E19="","",ABS(E19-'22_WOOD_COLUMN'!D41))</x:f>
      </x:c>
      <x:c r="I19" s="140" t="str">
        <x:f>IF(E19="","PENDING",IF(H19&lt;=0.0001,"PASS","FAIL"))</x:f>
        <x:v>PENDING</x:v>
      </x:c>
    </x:row>
    <x:row r="20">
      <x:c r="A20" s="130"/>
      <x:c r="B20" s="140" t="n">
        <x:v>14</x:v>
      </x:c>
      <x:c r="C20" s="140" t="str">
        <x:v>Axial capacity — X</x:v>
      </x:c>
      <x:c r="D20" s="140" t="str">
        <x:v>Pallow,x = Fc′x·A</x:v>
      </x:c>
      <x:c r="E20" s="140" t="str">
        <x:f>IF('22_WOOD_COLUMN'!C42="","",'22_WOOD_COLUMN'!C42)</x:f>
      </x:c>
      <x:c r="F20" s="140" t="str">
        <x:v>lb</x:v>
      </x:c>
      <x:c r="G20" s="140" t="str">
        <x:v>ASD capacity</x:v>
      </x:c>
      <x:c r="H20" s="140" t="str">
        <x:f>IF(E20="","",ABS(E20-'22_WOOD_COLUMN'!C42))</x:f>
      </x:c>
      <x:c r="I20" s="140" t="str">
        <x:f>IF(E20="","PENDING",IF(H20&lt;=0.0001,"PASS","FAIL"))</x:f>
        <x:v>PENDING</x:v>
      </x:c>
    </x:row>
    <x:row r="21">
      <x:c r="A21" s="130"/>
      <x:c r="B21" s="140" t="n">
        <x:v>15</x:v>
      </x:c>
      <x:c r="C21" s="140" t="str">
        <x:v>Axial capacity — Y</x:v>
      </x:c>
      <x:c r="D21" s="140" t="str">
        <x:v>Pallow,y = Fc′y·A</x:v>
      </x:c>
      <x:c r="E21" s="140" t="str">
        <x:f>IF('22_WOOD_COLUMN'!D42="","",'22_WOOD_COLUMN'!D42)</x:f>
      </x:c>
      <x:c r="F21" s="140" t="str">
        <x:v>lb</x:v>
      </x:c>
      <x:c r="G21" s="140" t="str">
        <x:v>ASD capacity</x:v>
      </x:c>
      <x:c r="H21" s="140" t="str">
        <x:f>IF(E21="","",ABS(E21-'22_WOOD_COLUMN'!D42))</x:f>
      </x:c>
      <x:c r="I21" s="140" t="str">
        <x:f>IF(E21="","PENDING",IF(H21&lt;=0.0001,"PASS","FAIL"))</x:f>
        <x:v>PENDING</x:v>
      </x:c>
    </x:row>
    <x:row r="22">
      <x:c r="A22" s="130"/>
      <x:c r="B22" s="140" t="n">
        <x:v>16</x:v>
      </x:c>
      <x:c r="C22" s="140" t="str">
        <x:v>Actual stress</x:v>
      </x:c>
      <x:c r="D22" s="140" t="str">
        <x:v>fc = P/A</x:v>
      </x:c>
      <x:c r="E22" s="140" t="str">
        <x:f>IF('22_WOOD_COLUMN'!C43="","",'22_WOOD_COLUMN'!C43)</x:f>
      </x:c>
      <x:c r="F22" s="140" t="str">
        <x:v>psi</x:v>
      </x:c>
      <x:c r="G22" s="140" t="str">
        <x:v>Axial mechanics</x:v>
      </x:c>
      <x:c r="H22" s="140" t="str">
        <x:f>IF(E22="","",ABS(E22-'22_WOOD_COLUMN'!C43))</x:f>
      </x:c>
      <x:c r="I22" s="140" t="str">
        <x:f>IF(E22="","PENDING",IF(H22&lt;=0.0001,"PASS","FAIL"))</x:f>
        <x:v>PENDING</x:v>
      </x:c>
    </x:row>
    <x:row r="23">
      <x:c r="A23" s="130"/>
      <x:c r="B23" s="140" t="n">
        <x:v>17</x:v>
      </x:c>
      <x:c r="C23" s="140" t="str">
        <x:v>Utilization — X</x:v>
      </x:c>
      <x:c r="D23" s="140" t="str">
        <x:v>fc/Fc′x</x:v>
      </x:c>
      <x:c r="E23" s="140" t="str">
        <x:f>IF('22_WOOD_COLUMN'!C44="","",'22_WOOD_COLUMN'!C44)</x:f>
      </x:c>
      <x:c r="F23" s="140"/>
      <x:c r="G23" s="140" t="str">
        <x:v>Capacity check</x:v>
      </x:c>
      <x:c r="H23" s="140" t="str">
        <x:f>IF(E23="","",ABS(E23-'22_WOOD_COLUMN'!C44))</x:f>
      </x:c>
      <x:c r="I23" s="140" t="str">
        <x:f>IF(E23="","PENDING",IF(H23&lt;=0.0001,"PASS","FAIL"))</x:f>
        <x:v>PENDING</x:v>
      </x:c>
    </x:row>
    <x:row r="24">
      <x:c r="A24" s="130"/>
      <x:c r="B24" s="140" t="n">
        <x:v>18</x:v>
      </x:c>
      <x:c r="C24" s="140" t="str">
        <x:v>Utilization — Y</x:v>
      </x:c>
      <x:c r="D24" s="140" t="str">
        <x:v>fc/Fc′y</x:v>
      </x:c>
      <x:c r="E24" s="140" t="str">
        <x:f>IF('22_WOOD_COLUMN'!D44="","",'22_WOOD_COLUMN'!D44)</x:f>
      </x:c>
      <x:c r="F24" s="140"/>
      <x:c r="G24" s="140" t="str">
        <x:v>Capacity check</x:v>
      </x:c>
      <x:c r="H24" s="140" t="str">
        <x:f>IF(E24="","",ABS(E24-'22_WOOD_COLUMN'!D44))</x:f>
      </x:c>
      <x:c r="I24" s="140" t="str">
        <x:f>IF(E24="","PENDING",IF(H24&lt;=0.0001,"PASS","FAIL"))</x:f>
        <x:v>PENDING</x:v>
      </x:c>
    </x:row>
    <x:row r="25">
      <x:c r="A25" s="130"/>
      <x:c r="B25" s="140" t="n">
        <x:v>19</x:v>
      </x:c>
      <x:c r="C25" s="140" t="str">
        <x:v>Governing utilization</x:v>
      </x:c>
      <x:c r="D25" s="140" t="str">
        <x:v>max(D/Cx,D/Cy)</x:v>
      </x:c>
      <x:c r="E25" s="140" t="str">
        <x:f>IF('22_WOOD_COLUMN'!C56="","",'22_WOOD_COLUMN'!C56)</x:f>
      </x:c>
      <x:c r="F25" s="140"/>
      <x:c r="G25" s="140" t="str">
        <x:v>Summary</x:v>
      </x:c>
      <x:c r="H25" s="140" t="str">
        <x:f>IF(E25="","",ABS(E25-'22_WOOD_COLUMN'!C56))</x:f>
      </x:c>
      <x:c r="I25" s="140" t="str">
        <x:f>IF(E25="","PENDING",IF(H25&lt;=0.0001,"PASS","FAIL"))</x:f>
        <x:v>PENDING</x:v>
      </x:c>
    </x:row>
    <x:row r="26">
      <x:c r="A26" s="130"/>
      <x:c r="B26" s="140"/>
      <x:c r="C26" s="140"/>
      <x:c r="D26" s="140"/>
      <x:c r="E26" s="140"/>
      <x:c r="F26" s="140"/>
      <x:c r="G26" s="140"/>
      <x:c r="H26" s="140"/>
      <x:c r="I26" s="140"/>
    </x:row>
    <x:row r="27">
      <x:c r="A27" s="130"/>
      <x:c r="B27" s="140"/>
      <x:c r="C27" s="140"/>
      <x:c r="D27" s="140"/>
      <x:c r="E27" s="140"/>
      <x:c r="F27" s="140"/>
      <x:c r="G27" s="140"/>
      <x:c r="H27" s="140"/>
      <x:c r="I27" s="140"/>
    </x:row>
    <x:row r="28">
      <x:c r="A28" s="130"/>
      <x:c r="B28" s="379" t="str">
        <x:v>INPUT / SOURCE SUBSTITUTION RECORD</x:v>
      </x:c>
      <x:c r="C28" s="379"/>
      <x:c r="D28" s="379"/>
      <x:c r="E28" s="379"/>
      <x:c r="F28" s="379"/>
      <x:c r="G28" s="379"/>
      <x:c r="H28" s="379"/>
      <x:c r="I28" s="379"/>
    </x:row>
    <x:row r="29">
      <x:c r="A29" s="130"/>
      <x:c r="B29" s="384" t="str">
        <x:v>Variable</x:v>
      </x:c>
      <x:c r="C29" s="384" t="str">
        <x:v>Meaning</x:v>
      </x:c>
      <x:c r="D29" s="384" t="str">
        <x:v>Value</x:v>
      </x:c>
      <x:c r="E29" s="384" t="str">
        <x:v>Unit</x:v>
      </x:c>
      <x:c r="F29" s="384" t="str">
        <x:v>Workbook Source</x:v>
      </x:c>
      <x:c r="G29" s="384" t="str">
        <x:v>Origin Class</x:v>
      </x:c>
      <x:c r="H29" s="384" t="str">
        <x:v>Source Record</x:v>
      </x:c>
      <x:c r="I29" s="384" t="str">
        <x:v>Confirmation</x:v>
      </x:c>
    </x:row>
    <x:row r="30">
      <x:c r="A30" s="130"/>
      <x:c r="B30" s="140" t="str">
        <x:v>b</x:v>
      </x:c>
      <x:c r="C30" s="140" t="str">
        <x:v>Actual width</x:v>
      </x:c>
      <x:c r="D30" s="140" t="str">
        <x:f>IF('01_INPUTS'!C148="","",'01_INPUTS'!C148)</x:f>
      </x:c>
      <x:c r="E30" s="140" t="str">
        <x:v>in</x:v>
      </x:c>
      <x:c r="F30" s="140" t="str">
        <x:v>01_INPUTS!C148</x:v>
      </x:c>
      <x:c r="G30" s="140" t="str">
        <x:v>Project / Material</x:v>
      </x:c>
      <x:c r="H30" s="140" t="str">
        <x:v>Member selection</x:v>
      </x:c>
      <x:c r="I30" s="140" t="str">
        <x:v>Engineer</x:v>
      </x:c>
    </x:row>
    <x:row r="31">
      <x:c r="A31" s="130"/>
      <x:c r="B31" s="140" t="str">
        <x:v>d</x:v>
      </x:c>
      <x:c r="C31" s="140" t="str">
        <x:v>Actual depth</x:v>
      </x:c>
      <x:c r="D31" s="140" t="str">
        <x:f>IF('01_INPUTS'!C149="","",'01_INPUTS'!C149)</x:f>
      </x:c>
      <x:c r="E31" s="140" t="str">
        <x:v>in</x:v>
      </x:c>
      <x:c r="F31" s="140" t="str">
        <x:v>01_INPUTS!C149</x:v>
      </x:c>
      <x:c r="G31" s="140" t="str">
        <x:v>Project / Material</x:v>
      </x:c>
      <x:c r="H31" s="140" t="str">
        <x:v>Member selection</x:v>
      </x:c>
      <x:c r="I31" s="140" t="str">
        <x:v>Engineer</x:v>
      </x:c>
    </x:row>
    <x:row r="32">
      <x:c r="A32" s="130"/>
      <x:c r="B32" s="140" t="str">
        <x:v>P</x:v>
      </x:c>
      <x:c r="C32" s="140" t="str">
        <x:v>Axial compression demand</x:v>
      </x:c>
      <x:c r="D32" s="140" t="str">
        <x:f>IF('01_INPUTS'!C150="","",'01_INPUTS'!C150)</x:f>
      </x:c>
      <x:c r="E32" s="140" t="str">
        <x:v>lb</x:v>
      </x:c>
      <x:c r="F32" s="140" t="str">
        <x:v>01_INPUTS!C150</x:v>
      </x:c>
      <x:c r="G32" s="140" t="str">
        <x:v>Calculation / Load Path</x:v>
      </x:c>
      <x:c r="H32" s="140" t="str">
        <x:v>Load-combo trace</x:v>
      </x:c>
      <x:c r="I32" s="140" t="str">
        <x:v>Engineer</x:v>
      </x:c>
    </x:row>
    <x:row r="33">
      <x:c r="A33" s="130"/>
      <x:c r="B33" s="140" t="str">
        <x:v>Lx</x:v>
      </x:c>
      <x:c r="C33" s="140" t="str">
        <x:v>Unbraced length X</x:v>
      </x:c>
      <x:c r="D33" s="140" t="str">
        <x:f>IF('01_INPUTS'!C151="","",'01_INPUTS'!C151)</x:f>
      </x:c>
      <x:c r="E33" s="140" t="str">
        <x:v>ft</x:v>
      </x:c>
      <x:c r="F33" s="140" t="str">
        <x:v>01_INPUTS!C151</x:v>
      </x:c>
      <x:c r="G33" s="140" t="str">
        <x:v>Project / Geometry</x:v>
      </x:c>
      <x:c r="H33" s="140" t="str">
        <x:v>Plans/model</x:v>
      </x:c>
      <x:c r="I33" s="140" t="str">
        <x:v>Engineer</x:v>
      </x:c>
    </x:row>
    <x:row r="34">
      <x:c r="A34" s="130"/>
      <x:c r="B34" s="140" t="str">
        <x:v>Ly</x:v>
      </x:c>
      <x:c r="C34" s="140" t="str">
        <x:v>Unbraced length Y</x:v>
      </x:c>
      <x:c r="D34" s="140" t="str">
        <x:f>IF('01_INPUTS'!C152="","",'01_INPUTS'!C152)</x:f>
      </x:c>
      <x:c r="E34" s="140" t="str">
        <x:v>ft</x:v>
      </x:c>
      <x:c r="F34" s="140" t="str">
        <x:v>01_INPUTS!C152</x:v>
      </x:c>
      <x:c r="G34" s="140" t="str">
        <x:v>Project / Geometry</x:v>
      </x:c>
      <x:c r="H34" s="140" t="str">
        <x:v>Plans/model</x:v>
      </x:c>
      <x:c r="I34" s="140" t="str">
        <x:v>Engineer</x:v>
      </x:c>
    </x:row>
    <x:row r="35">
      <x:c r="A35" s="130"/>
      <x:c r="B35" s="140" t="str">
        <x:v>Ke,x</x:v>
      </x:c>
      <x:c r="C35" s="140" t="str">
        <x:v>Effective length factor X</x:v>
      </x:c>
      <x:c r="D35" s="140" t="str">
        <x:f>IF('01_INPUTS'!C153="","",'01_INPUTS'!C153)</x:f>
      </x:c>
      <x:c r="E35" s="140"/>
      <x:c r="F35" s="140" t="str">
        <x:v>01_INPUTS!C153</x:v>
      </x:c>
      <x:c r="G35" s="140" t="str">
        <x:v>Code / Judgment</x:v>
      </x:c>
      <x:c r="H35" s="140" t="str">
        <x:v>Adjustment factor record</x:v>
      </x:c>
      <x:c r="I35" s="140" t="str">
        <x:v>Engineer</x:v>
      </x:c>
    </x:row>
    <x:row r="36">
      <x:c r="A36" s="130"/>
      <x:c r="B36" s="140" t="str">
        <x:v>Ke,y</x:v>
      </x:c>
      <x:c r="C36" s="140" t="str">
        <x:v>Effective length factor Y</x:v>
      </x:c>
      <x:c r="D36" s="140" t="str">
        <x:f>IF('01_INPUTS'!C154="","",'01_INPUTS'!C154)</x:f>
      </x:c>
      <x:c r="E36" s="140"/>
      <x:c r="F36" s="140" t="str">
        <x:v>01_INPUTS!C154</x:v>
      </x:c>
      <x:c r="G36" s="140" t="str">
        <x:v>Code / Judgment</x:v>
      </x:c>
      <x:c r="H36" s="140" t="str">
        <x:v>Adjustment factor record</x:v>
      </x:c>
      <x:c r="I36" s="140" t="str">
        <x:v>Engineer</x:v>
      </x:c>
    </x:row>
    <x:row r="37">
      <x:c r="A37" s="130"/>
      <x:c r="B37" s="140" t="str">
        <x:v>Fc</x:v>
      </x:c>
      <x:c r="C37" s="140" t="str">
        <x:v>Reference compression value</x:v>
      </x:c>
      <x:c r="D37" s="140" t="str">
        <x:f>IF('01_INPUTS'!C155="","",'01_INPUTS'!C155)</x:f>
      </x:c>
      <x:c r="E37" s="140" t="str">
        <x:v>psi</x:v>
      </x:c>
      <x:c r="F37" s="140" t="str">
        <x:v>01_INPUTS!C155</x:v>
      </x:c>
      <x:c r="G37" s="140" t="str">
        <x:v>Code / Table</x:v>
      </x:c>
      <x:c r="H37" s="140" t="str">
        <x:v>01_INPUTS!C166</x:v>
      </x:c>
      <x:c r="I37" s="140" t="str">
        <x:v>Engineer</x:v>
      </x:c>
    </x:row>
    <x:row r="38">
      <x:c r="A38" s="130"/>
      <x:c r="B38" s="140" t="str">
        <x:v>Emin</x:v>
      </x:c>
      <x:c r="C38" s="140" t="str">
        <x:v>Reference minimum modulus</x:v>
      </x:c>
      <x:c r="D38" s="140" t="str">
        <x:f>IF('01_INPUTS'!C156="","",'01_INPUTS'!C156)</x:f>
      </x:c>
      <x:c r="E38" s="140" t="str">
        <x:v>psi</x:v>
      </x:c>
      <x:c r="F38" s="140" t="str">
        <x:v>01_INPUTS!C156</x:v>
      </x:c>
      <x:c r="G38" s="140" t="str">
        <x:v>Code / Table</x:v>
      </x:c>
      <x:c r="H38" s="140" t="str">
        <x:v>01_INPUTS!C166</x:v>
      </x:c>
      <x:c r="I38" s="140" t="str">
        <x:v>Engineer</x:v>
      </x:c>
    </x:row>
    <x:row r="39">
      <x:c r="A39" s="130"/>
      <x:c r="B39" s="140" t="str">
        <x:v>CD</x:v>
      </x:c>
      <x:c r="C39" s="140" t="str">
        <x:v>Load duration factor</x:v>
      </x:c>
      <x:c r="D39" s="140" t="str">
        <x:f>IF('01_INPUTS'!C157="","",'01_INPUTS'!C157)</x:f>
      </x:c>
      <x:c r="E39" s="140"/>
      <x:c r="F39" s="140" t="str">
        <x:v>01_INPUTS!C157</x:v>
      </x:c>
      <x:c r="G39" s="140" t="str">
        <x:v>Code / Table</x:v>
      </x:c>
      <x:c r="H39" s="140" t="str">
        <x:v>01_INPUTS!C167</x:v>
      </x:c>
      <x:c r="I39" s="140" t="str">
        <x:v>Engineer</x:v>
      </x:c>
    </x:row>
    <x:row r="40">
      <x:c r="A40" s="130"/>
      <x:c r="B40" s="140" t="str">
        <x:v>Ci</x:v>
      </x:c>
      <x:c r="C40" s="140" t="str">
        <x:v>Incising factor</x:v>
      </x:c>
      <x:c r="D40" s="140" t="str">
        <x:f>IF('01_INPUTS'!C161="","",'01_INPUTS'!C161)</x:f>
      </x:c>
      <x:c r="E40" s="140"/>
      <x:c r="F40" s="140" t="str">
        <x:v>01_INPUTS!C161</x:v>
      </x:c>
      <x:c r="G40" s="140" t="str">
        <x:v>Code / Table</x:v>
      </x:c>
      <x:c r="H40" s="140" t="str">
        <x:v>01_INPUTS!C167</x:v>
      </x:c>
      <x:c r="I40" s="140" t="str">
        <x:v>Engineer</x:v>
      </x:c>
    </x:row>
    <x:row r="41">
      <x:c r="A41" s="130"/>
      <x:c r="B41" s="140" t="str">
        <x:v>CT</x:v>
      </x:c>
      <x:c r="C41" s="140" t="str">
        <x:v>Buckling stiffness factor</x:v>
      </x:c>
      <x:c r="D41" s="140" t="str">
        <x:f>IF('01_INPUTS'!C165="","",'01_INPUTS'!C165)</x:f>
      </x:c>
      <x:c r="E41" s="140"/>
      <x:c r="F41" s="140" t="str">
        <x:v>01_INPUTS!C165</x:v>
      </x:c>
      <x:c r="G41" s="140" t="str">
        <x:v>Code / Judgment</x:v>
      </x:c>
      <x:c r="H41" s="140" t="str">
        <x:v>01_INPUTS!C167</x:v>
      </x:c>
      <x:c r="I41" s="140" t="str">
        <x:v>Engineer</x:v>
      </x:c>
    </x:row>
    <x:row r="42">
      <x:c r="A42" s="130"/>
      <x:c r="B42" s="140"/>
      <x:c r="C42" s="140"/>
      <x:c r="D42" s="140"/>
      <x:c r="E42" s="140"/>
      <x:c r="F42" s="140"/>
      <x:c r="G42" s="140"/>
      <x:c r="H42" s="140"/>
      <x:c r="I42" s="140"/>
    </x:row>
    <x:row r="43">
      <x:c r="A43" s="130"/>
      <x:c r="B43" s="387" t="str">
        <x:v>Scope note: current column engine is a solid rectangular, concentric axial-compression ASD calculation. Built-up columns and combined axial-plus-bending interaction will be added before the workbook is treated as complete for general column design.</x:v>
      </x:c>
      <x:c r="C43" s="387"/>
      <x:c r="D43" s="387"/>
      <x:c r="E43" s="387"/>
      <x:c r="F43" s="387"/>
      <x:c r="G43" s="387"/>
      <x:c r="H43" s="387"/>
      <x:c r="I43" s="387"/>
    </x:row>
    <x:row r="44">
      <x:c r="A44" s="130"/>
      <x:c r="B44" s="387"/>
      <x:c r="C44" s="387"/>
      <x:c r="D44" s="387"/>
      <x:c r="E44" s="387"/>
      <x:c r="F44" s="387"/>
      <x:c r="G44" s="387"/>
      <x:c r="H44" s="387"/>
      <x:c r="I44" s="387"/>
    </x:row>
  </x:sheetData>
  <x:mergeCells>
    <x:mergeCell ref="B2:I2"/>
    <x:mergeCell ref="B4:I4"/>
    <x:mergeCell ref="B28:I28"/>
    <x:mergeCell ref="B43:I44"/>
  </x:mergeCells>
  <x:conditionalFormatting sqref="I7:I25">
    <x:cfRule type="expression" dxfId="85" priority="1">
      <x:formula>I7="PASS"</x:formula>
    </x:cfRule>
    <x:cfRule type="expression" dxfId="86" priority="2">
      <x:formula>I7="FAIL"</x:formula>
    </x:cfRule>
  </x:conditionalFormatting>
  <x:pageMargins left="0.7" right="0.7" top="0.75" bottom="0.75" header="0.3" footer="0.3"/>
</x:worksheet>
</file>

<file path=xl/worksheets/sheet28.xml><?xml version="1.0" encoding="utf-8"?>
<x:worksheet xmlns:x="http://schemas.openxmlformats.org/spreadsheetml/2006/main">
  <x:sheetFormatPr defaultRowHeight="15"/>
  <x:cols>
    <x:col min="2" max="2" width="29" hidden="0" customWidth="1"/>
    <x:col min="3" max="3" width="18" hidden="0" customWidth="1"/>
    <x:col min="4" max="4" width="12" hidden="0" customWidth="1"/>
    <x:col min="5" max="5" width="36" hidden="0" customWidth="1"/>
    <x:col min="6" max="6" width="12" hidden="0" customWidth="1"/>
    <x:col min="8" max="8" width="24" hidden="0" customWidth="1"/>
    <x:col min="9" max="9" width="14" hidden="0" customWidth="1"/>
    <x:col min="13" max="13" width="18" hidden="0" customWidth="1"/>
    <x:col min="14" max="14" width="42" hidden="0" customWidth="1"/>
    <x:col min="15" max="15" width="15" hidden="0" customWidth="1"/>
    <x:col min="16" max="16" width="15"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398" t="str">
        <x:v>WOOD-FRAME SHEAR WALL DESIGN ENGINE — SDPWS 2021 (ASD)</x:v>
      </x:c>
      <x:c r="C2" s="398"/>
      <x:c r="D2" s="398"/>
      <x:c r="E2" s="398"/>
      <x:c r="F2" s="398"/>
      <x:c r="G2" s="398"/>
      <x:c r="H2" s="398"/>
      <x:c r="I2" s="398"/>
      <x:c r="J2" s="398"/>
      <x:c r="K2" s="140"/>
      <x:c r="L2" s="140"/>
      <x:c r="M2" s="394" t="str">
        <x:v>LOCKED MATH QA BENCHMARKS</x:v>
      </x:c>
      <x:c r="N2" s="394"/>
      <x:c r="O2" s="394"/>
      <x:c r="P2" s="394"/>
      <x:c r="Q2" s="394"/>
      <x:c r="R2" s="394"/>
    </x:row>
    <x:row r="3">
      <x:c r="B3" s="140"/>
      <x:c r="C3" s="140"/>
      <x:c r="D3" s="140"/>
      <x:c r="E3" s="140"/>
      <x:c r="F3" s="140"/>
      <x:c r="G3" s="140"/>
      <x:c r="H3" s="140"/>
      <x:c r="I3" s="140"/>
      <x:c r="J3" s="140"/>
      <x:c r="K3" s="140"/>
      <x:c r="L3" s="140"/>
      <x:c r="M3" s="407" t="str">
        <x:v>Test</x:v>
      </x:c>
      <x:c r="N3" s="407" t="str">
        <x:v>Inputs</x:v>
      </x:c>
      <x:c r="O3" s="407" t="str">
        <x:v>Expected</x:v>
      </x:c>
      <x:c r="P3" s="407" t="str">
        <x:v>Workbook</x:v>
      </x:c>
      <x:c r="Q3" s="407" t="str">
        <x:v>Abs Diff</x:v>
      </x:c>
      <x:c r="R3" s="407" t="str">
        <x:v>Status</x:v>
      </x:c>
    </x:row>
    <x:row r="4" ht="54" customHeight="1">
      <x:c r="B4" s="401" t="str">
        <x:v>Scope: wood-frame shear-wall strength and deflection screening using sourced nominal unit shear capacity and apparent shear stiffness. For WSP segmented/FTAO walls, the 2021 SDPWS high-aspect-ratio strength factor is automated. Perforated-wall Co/effective-length treatment, two-sided/dissimilar systems, collectors, anchorage hardware, and connection design remain explicit controlled review items.</x:v>
      </x:c>
      <x:c r="C4" s="401"/>
      <x:c r="D4" s="401"/>
      <x:c r="E4" s="401"/>
      <x:c r="F4" s="401"/>
      <x:c r="G4" s="401"/>
      <x:c r="H4" s="401"/>
      <x:c r="I4" s="401"/>
      <x:c r="J4" s="401"/>
      <x:c r="K4" s="140"/>
      <x:c r="L4" s="140"/>
      <x:c r="M4" s="152" t="str">
        <x:v>SW-QA-01</x:v>
      </x:c>
      <x:c r="N4" s="152" t="str">
        <x:v>Wind ASD factor</x:v>
      </x:c>
      <x:c r="O4" s="415" t="n">
        <x:v>2</x:v>
      </x:c>
      <x:c r="P4" s="415" t="n">
        <x:f>IF("WIND"="WIND",2,2.8)</x:f>
        <x:v>2</x:v>
      </x:c>
      <x:c r="Q4" s="415" t="n">
        <x:f>ABS(O4-P4)</x:f>
        <x:v>0</x:v>
      </x:c>
      <x:c r="R4" s="152" t="str">
        <x:f>IF(Q4&lt;1E-9,"PASS","FAIL")</x:f>
        <x:v>PASS</x:v>
      </x:c>
    </x:row>
    <x:row r="5">
      <x:c r="B5" s="140"/>
      <x:c r="C5" s="140"/>
      <x:c r="D5" s="140"/>
      <x:c r="E5" s="140"/>
      <x:c r="F5" s="140"/>
      <x:c r="G5" s="140"/>
      <x:c r="H5" s="140"/>
      <x:c r="I5" s="140"/>
      <x:c r="J5" s="140"/>
      <x:c r="K5" s="140"/>
      <x:c r="L5" s="140"/>
      <x:c r="M5" s="152" t="str">
        <x:v>SW-QA-02</x:v>
      </x:c>
      <x:c r="N5" s="152" t="str">
        <x:v>Seismic ASD factor</x:v>
      </x:c>
      <x:c r="O5" s="415" t="n">
        <x:v>2.8</x:v>
      </x:c>
      <x:c r="P5" s="415" t="n">
        <x:f>IF("SEISMIC"="WIND",2,2.8)</x:f>
        <x:v>2.8</x:v>
      </x:c>
      <x:c r="Q5" s="415" t="n">
        <x:f>ABS(O5-P5)</x:f>
        <x:v>0</x:v>
      </x:c>
      <x:c r="R5" s="152" t="str">
        <x:f>IF(Q5&lt;1E-9,"PASS","FAIL")</x:f>
        <x:v>PASS</x:v>
      </x:c>
    </x:row>
    <x:row r="6">
      <x:c r="B6" s="394" t="str">
        <x:v>WALL / MATERIAL BASIS</x:v>
      </x:c>
      <x:c r="C6" s="394"/>
      <x:c r="D6" s="394"/>
      <x:c r="E6" s="394"/>
      <x:c r="F6" s="394"/>
      <x:c r="G6" s="140"/>
      <x:c r="H6" s="394" t="str">
        <x:v>MODULE STATUS</x:v>
      </x:c>
      <x:c r="I6" s="394"/>
      <x:c r="J6" s="394"/>
      <x:c r="K6" s="140"/>
      <x:c r="L6" s="140"/>
      <x:c r="M6" s="152" t="str">
        <x:v>SW-QA-03</x:v>
      </x:c>
      <x:c r="N6" s="152" t="str">
        <x:v>WSP AR=3.0 factor</x:v>
      </x:c>
      <x:c r="O6" s="415" t="n">
        <x:v>0.875</x:v>
      </x:c>
      <x:c r="P6" s="415" t="n">
        <x:f>1.25-0.125*3</x:f>
        <x:v>0.875</x:v>
      </x:c>
      <x:c r="Q6" s="415" t="n">
        <x:f>ABS(O6-P6)</x:f>
        <x:v>0</x:v>
      </x:c>
      <x:c r="R6" s="152" t="str">
        <x:f>IF(Q6&lt;1E-9,"PASS","FAIL")</x:f>
        <x:v>PASS</x:v>
      </x:c>
    </x:row>
    <x:row r="7">
      <x:c r="B7" s="407" t="str">
        <x:v>Parameter</x:v>
      </x:c>
      <x:c r="C7" s="407" t="str">
        <x:v>Value</x:v>
      </x:c>
      <x:c r="D7" s="407" t="str">
        <x:v>Unit</x:v>
      </x:c>
      <x:c r="E7" s="407" t="str">
        <x:v>Source / Basis</x:v>
      </x:c>
      <x:c r="F7" s="407" t="str">
        <x:v>Status</x:v>
      </x:c>
      <x:c r="G7" s="140"/>
      <x:c r="H7" s="407" t="str">
        <x:v>Input Completeness</x:v>
      </x:c>
      <x:c r="I7" s="407" t="str">
        <x:f>IF(COUNTIF(F8:F24,"MISSING")=0,"READY","PENDING")</x:f>
        <x:v>PENDING</x:v>
      </x:c>
      <x:c r="J7" s="140"/>
      <x:c r="K7" s="140"/>
      <x:c r="L7" s="140"/>
      <x:c r="M7" s="152" t="str">
        <x:v>SW-QA-04</x:v>
      </x:c>
      <x:c r="N7" s="152" t="str">
        <x:v>vn=1000, seismic, CAR=.875</x:v>
      </x:c>
      <x:c r="O7" s="415" t="n">
        <x:v>312.5</x:v>
      </x:c>
      <x:c r="P7" s="415" t="n">
        <x:f>1000/2.8*0.875</x:f>
        <x:v>312.5</x:v>
      </x:c>
      <x:c r="Q7" s="415" t="n">
        <x:f>ABS(O7-P7)</x:f>
        <x:v>0</x:v>
      </x:c>
      <x:c r="R7" s="152" t="str">
        <x:f>IF(Q7&lt;1E-9,"PASS","FAIL")</x:f>
        <x:v>PASS</x:v>
      </x:c>
    </x:row>
    <x:row r="8">
      <x:c r="B8" s="152" t="str">
        <x:v>Wall Mark</x:v>
      </x:c>
      <x:c r="C8" s="152" t="str">
        <x:f>IF('01_INPUTS'!C173="","",'01_INPUTS'!C173)</x:f>
      </x:c>
      <x:c r="D8" s="152" t="str"/>
      <x:c r="E8" s="152" t="str">
        <x:v>01_INPUTS</x:v>
      </x:c>
      <x:c r="F8" s="152" t="str">
        <x:f>IF(C8="","MISSING","OK")</x:f>
        <x:v>MISSING</x:v>
      </x:c>
      <x:c r="G8" s="140"/>
      <x:c r="H8" s="407" t="str">
        <x:v>Aspect Ratio</x:v>
      </x:c>
      <x:c r="I8" s="407" t="str">
        <x:f>IF(C31="","PENDING",IF(C32="PASS","PASS","FAIL"))</x:f>
        <x:v>PENDING</x:v>
      </x:c>
      <x:c r="J8" s="140"/>
      <x:c r="K8" s="140"/>
      <x:c r="L8" s="140"/>
      <x:c r="M8" s="152" t="str">
        <x:v>SW-QA-05</x:v>
      </x:c>
      <x:c r="N8" s="152" t="str">
        <x:v>capacity @ b=4 ft</x:v>
      </x:c>
      <x:c r="O8" s="415" t="n">
        <x:v>1250</x:v>
      </x:c>
      <x:c r="P8" s="415" t="n">
        <x:f>(1000/2.8*0.875)*4</x:f>
        <x:v>1250</x:v>
      </x:c>
      <x:c r="Q8" s="415" t="n">
        <x:f>ABS(O8-P8)</x:f>
        <x:v>0</x:v>
      </x:c>
      <x:c r="R8" s="152" t="str">
        <x:f>IF(Q8&lt;1E-9,"PASS","FAIL")</x:f>
        <x:v>PASS</x:v>
      </x:c>
    </x:row>
    <x:row r="9">
      <x:c r="B9" s="152" t="str">
        <x:v>Design Force Type</x:v>
      </x:c>
      <x:c r="C9" s="152" t="str">
        <x:f>IF('01_INPUTS'!C174="","",'01_INPUTS'!C174)</x:f>
      </x:c>
      <x:c r="D9" s="152" t="str"/>
      <x:c r="E9" s="152" t="str">
        <x:v>01_INPUTS</x:v>
      </x:c>
      <x:c r="F9" s="152" t="str">
        <x:f>IF(C9="","MISSING","OK")</x:f>
        <x:v>MISSING</x:v>
      </x:c>
      <x:c r="G9" s="140"/>
      <x:c r="H9" s="407" t="str">
        <x:v>Strength</x:v>
      </x:c>
      <x:c r="I9" s="407" t="str">
        <x:f>IF(C38="","PENDING",IF(C38&lt;=1,"PASS","FAIL"))</x:f>
        <x:v>PENDING</x:v>
      </x:c>
      <x:c r="J9" s="140"/>
      <x:c r="K9" s="140"/>
      <x:c r="L9" s="140"/>
      <x:c r="M9" s="152" t="str">
        <x:v>SW-QA-06</x:v>
      </x:c>
      <x:c r="N9" s="152" t="str">
        <x:v>Δ: v=250,h=8,E=1.6E6,A=10.5,b=4,Ga=16,Δa=.05</x:v>
      </x:c>
      <x:c r="O9" s="415" t="n">
        <x:v>0.24023809523809525</x:v>
      </x:c>
      <x:c r="P9" s="415" t="n">
        <x:f>8*250*8^3/(1600000*10.5*4)+250*8/(1000*16)+8/4*0.05</x:f>
        <x:v>0.24023809523809525</x:v>
      </x:c>
      <x:c r="Q9" s="415" t="n">
        <x:f>ABS(O9-P9)</x:f>
        <x:v>0</x:v>
      </x:c>
      <x:c r="R9" s="152" t="str">
        <x:f>IF(Q9&lt;1E-9,"PASS","FAIL")</x:f>
        <x:v>PASS</x:v>
      </x:c>
    </x:row>
    <x:row r="10">
      <x:c r="B10" s="152" t="str">
        <x:v>Wall Design Method</x:v>
      </x:c>
      <x:c r="C10" s="152" t="str">
        <x:f>IF('01_INPUTS'!C175="","",'01_INPUTS'!C175)</x:f>
      </x:c>
      <x:c r="D10" s="152" t="str"/>
      <x:c r="E10" s="152" t="str">
        <x:v>01_INPUTS</x:v>
      </x:c>
      <x:c r="F10" s="152" t="str">
        <x:f>IF(C10="","MISSING","OK")</x:f>
        <x:v>MISSING</x:v>
      </x:c>
      <x:c r="G10" s="140"/>
      <x:c r="H10" s="407" t="str">
        <x:v>Deflection</x:v>
      </x:c>
      <x:c r="I10" s="407" t="str">
        <x:f>IF(C47="","PENDING",IF(C47&lt;=1,"PASS","FAIL"))</x:f>
        <x:v>PENDING</x:v>
      </x:c>
      <x:c r="J10" s="140"/>
      <x:c r="K10" s="140"/>
      <x:c r="L10" s="140"/>
      <x:c r="M10" s="152" t="str">
        <x:v>SW-QA-07</x:v>
      </x:c>
      <x:c r="N10" s="152" t="str">
        <x:v>T=Vh/b, V=1000,h=8,b=4</x:v>
      </x:c>
      <x:c r="O10" s="415" t="n">
        <x:v>2000</x:v>
      </x:c>
      <x:c r="P10" s="415" t="n">
        <x:f>1000*8/4</x:f>
        <x:v>2000</x:v>
      </x:c>
      <x:c r="Q10" s="415" t="n">
        <x:f>ABS(O10-P10)</x:f>
        <x:v>0</x:v>
      </x:c>
      <x:c r="R10" s="152" t="str">
        <x:f>IF(Q10&lt;1E-9,"PASS","FAIL")</x:f>
        <x:v>PASS</x:v>
      </x:c>
    </x:row>
    <x:row r="11">
      <x:c r="B11" s="152" t="str">
        <x:v>Sheathing System</x:v>
      </x:c>
      <x:c r="C11" s="152" t="str">
        <x:f>IF('01_INPUTS'!C176="","",'01_INPUTS'!C176)</x:f>
      </x:c>
      <x:c r="D11" s="152" t="str"/>
      <x:c r="E11" s="152" t="str">
        <x:v>01_INPUTS</x:v>
      </x:c>
      <x:c r="F11" s="152" t="str">
        <x:f>IF(C11="","MISSING","OK")</x:f>
        <x:v>MISSING</x:v>
      </x:c>
      <x:c r="G11" s="140"/>
      <x:c r="H11" s="407" t="str">
        <x:v>Special Review Gates</x:v>
      </x:c>
      <x:c r="I11" s="407" t="str">
        <x:f>IF(OR(C10="PERFORATED",C10="FTAO",C11&lt;&gt;"WSP"),"REVIEW","REVIEW")</x:f>
        <x:v>REVIEW</x:v>
      </x:c>
      <x:c r="J11" s="140"/>
      <x:c r="K11" s="140"/>
      <x:c r="L11" s="140"/>
      <x:c r="M11" s="152" t="str">
        <x:v>Benchmark Overall</x:v>
      </x:c>
      <x:c r="N11" s="152" t="str"/>
      <x:c r="O11" s="152" t="str"/>
      <x:c r="P11" s="152" t="str"/>
      <x:c r="Q11" s="152" t="str"/>
      <x:c r="R11" s="152" t="str">
        <x:f>IF(COUNTIF(R4:R10,"FAIL")=0,"PASS","FAIL")</x:f>
        <x:v>PASS</x:v>
      </x:c>
    </x:row>
    <x:row r="12">
      <x:c r="B12" s="152" t="str">
        <x:v>Wall-Line Shear Demand V</x:v>
      </x:c>
      <x:c r="C12" s="152" t="str">
        <x:f>IF('01_INPUTS'!C177="","",'01_INPUTS'!C177)</x:f>
      </x:c>
      <x:c r="D12" s="152" t="str">
        <x:v>lb</x:v>
      </x:c>
      <x:c r="E12" s="152" t="str">
        <x:v>Lateral analysis</x:v>
      </x:c>
      <x:c r="F12" s="152" t="str">
        <x:f>IF(C12="","MISSING","OK")</x:f>
        <x:v>MISSING</x:v>
      </x:c>
      <x:c r="G12" s="140"/>
      <x:c r="H12" s="407" t="str">
        <x:v>Math Cross-Checks</x:v>
      </x:c>
      <x:c r="I12" s="407" t="str">
        <x:f>IF(R11="PASS","PASS","CHECK")</x:f>
        <x:v>PASS</x:v>
      </x:c>
      <x:c r="J12" s="140"/>
      <x:c r="K12" s="140"/>
      <x:c r="L12" s="140"/>
      <x:c r="M12" s="140"/>
      <x:c r="N12" s="140"/>
      <x:c r="O12" s="140"/>
      <x:c r="P12" s="140"/>
      <x:c r="Q12" s="140"/>
      <x:c r="R12" s="140"/>
    </x:row>
    <x:row r="13">
      <x:c r="B13" s="152" t="str">
        <x:v>Wall Height h</x:v>
      </x:c>
      <x:c r="C13" s="152" t="str">
        <x:f>IF('01_INPUTS'!C178="","",'01_INPUTS'!C178)</x:f>
      </x:c>
      <x:c r="D13" s="152" t="str">
        <x:v>ft</x:v>
      </x:c>
      <x:c r="E13" s="152" t="str">
        <x:v>01_INPUTS</x:v>
      </x:c>
      <x:c r="F13" s="152" t="str">
        <x:f>IF(C13="","MISSING","OK")</x:f>
        <x:v>MISSING</x:v>
      </x:c>
      <x:c r="G13" s="140"/>
      <x:c r="H13" s="407" t="str">
        <x:v>Overall</x:v>
      </x:c>
      <x:c r="I13" s="407" t="str">
        <x:f>IF(OR(I7="PENDING",I8="PENDING",I9="PENDING",I10="PENDING"),"PENDING",IF(OR(I8="FAIL",I9="FAIL",I10="FAIL"),"FAIL","REVIEW"))</x:f>
        <x:v>PENDING</x:v>
      </x:c>
      <x:c r="J13" s="140"/>
      <x:c r="K13" s="140"/>
      <x:c r="L13" s="140"/>
      <x:c r="M13" s="401" t="str">
        <x:v>QA note: benchmarks independently validate arithmetic implementation only. They do not replace licensed-standard applicability review, project-specific load-path analysis, or professional engineering approval.</x:v>
      </x:c>
      <x:c r="N13" s="401"/>
      <x:c r="O13" s="401"/>
      <x:c r="P13" s="401"/>
      <x:c r="Q13" s="401"/>
      <x:c r="R13" s="401"/>
    </x:row>
    <x:row r="14">
      <x:c r="B14" s="152" t="str">
        <x:v>Effective Shear Length Σb</x:v>
      </x:c>
      <x:c r="C14" s="152" t="str">
        <x:f>IF('01_INPUTS'!C179="","",'01_INPUTS'!C179)</x:f>
      </x:c>
      <x:c r="D14" s="152" t="str">
        <x:v>ft</x:v>
      </x:c>
      <x:c r="E14" s="152" t="str">
        <x:v>01_INPUTS</x:v>
      </x:c>
      <x:c r="F14" s="152" t="str">
        <x:f>IF(C14="","MISSING","OK")</x:f>
        <x:v>MISSING</x:v>
      </x:c>
      <x:c r="G14" s="140"/>
      <x:c r="H14" s="140"/>
      <x:c r="I14" s="140"/>
      <x:c r="J14" s="140"/>
      <x:c r="K14" s="140"/>
      <x:c r="L14" s="140"/>
      <x:c r="M14" s="401"/>
      <x:c r="N14" s="401"/>
      <x:c r="O14" s="401"/>
      <x:c r="P14" s="401"/>
      <x:c r="Q14" s="401"/>
      <x:c r="R14" s="401"/>
    </x:row>
    <x:row r="15">
      <x:c r="B15" s="152" t="str">
        <x:v>Governing Segment Width b</x:v>
      </x:c>
      <x:c r="C15" s="152" t="str">
        <x:f>IF('01_INPUTS'!C180="","",'01_INPUTS'!C180)</x:f>
      </x:c>
      <x:c r="D15" s="152" t="str">
        <x:v>ft</x:v>
      </x:c>
      <x:c r="E15" s="152" t="str">
        <x:v>01_INPUTS</x:v>
      </x:c>
      <x:c r="F15" s="152" t="str">
        <x:f>IF(C15="","MISSING","OK")</x:f>
        <x:v>MISSING</x:v>
      </x:c>
      <x:c r="G15" s="140"/>
      <x:c r="H15" s="140"/>
      <x:c r="I15" s="140"/>
      <x:c r="J15" s="140"/>
      <x:c r="K15" s="140"/>
      <x:c r="L15" s="140"/>
      <x:c r="M15" s="401"/>
      <x:c r="N15" s="401"/>
      <x:c r="O15" s="401"/>
      <x:c r="P15" s="401"/>
      <x:c r="Q15" s="401"/>
      <x:c r="R15" s="401"/>
    </x:row>
    <x:row r="16">
      <x:c r="B16" s="152" t="str">
        <x:v>Nominal Unit Shear Capacity vn</x:v>
      </x:c>
      <x:c r="C16" s="152" t="str">
        <x:f>IF('01_INPUTS'!C181="","",'01_INPUTS'!C181)</x:f>
      </x:c>
      <x:c r="D16" s="152" t="str">
        <x:v>plf</x:v>
      </x:c>
      <x:c r="E16" s="152" t="str">
        <x:v>SDPWS / ESR / manufacturer</x:v>
      </x:c>
      <x:c r="F16" s="152" t="str">
        <x:f>IF(C16="","MISSING","OK")</x:f>
        <x:v>MISSING</x:v>
      </x:c>
      <x:c r="G16" s="140"/>
      <x:c r="H16" s="140"/>
      <x:c r="I16" s="140"/>
      <x:c r="J16" s="140"/>
      <x:c r="K16" s="140"/>
      <x:c r="L16" s="140"/>
      <x:c r="M16" s="140"/>
      <x:c r="N16" s="140"/>
      <x:c r="O16" s="140"/>
      <x:c r="P16" s="140"/>
      <x:c r="Q16" s="140"/>
      <x:c r="R16" s="140"/>
    </x:row>
    <x:row r="17">
      <x:c r="B17" s="152" t="str">
        <x:v>Apparent Shear Stiffness Ga</x:v>
      </x:c>
      <x:c r="C17" s="152" t="str">
        <x:f>IF('01_INPUTS'!C182="","",'01_INPUTS'!C182)</x:f>
      </x:c>
      <x:c r="D17" s="152" t="str">
        <x:v>kips/in</x:v>
      </x:c>
      <x:c r="E17" s="152" t="str">
        <x:v>SDPWS / approved source</x:v>
      </x:c>
      <x:c r="F17" s="152" t="str">
        <x:f>IF(C17="","MISSING","OK")</x:f>
        <x:v>MISSING</x:v>
      </x:c>
      <x:c r="G17" s="140"/>
      <x:c r="H17" s="140"/>
      <x:c r="I17" s="140"/>
      <x:c r="J17" s="140"/>
      <x:c r="K17" s="140"/>
      <x:c r="L17" s="140"/>
      <x:c r="M17" s="140"/>
      <x:c r="N17" s="140"/>
      <x:c r="O17" s="140"/>
      <x:c r="P17" s="140"/>
      <x:c r="Q17" s="140"/>
      <x:c r="R17" s="140"/>
    </x:row>
    <x:row r="18">
      <x:c r="B18" s="152" t="str">
        <x:v>End-Post Modulus E</x:v>
      </x:c>
      <x:c r="C18" s="152" t="str">
        <x:f>IF('01_INPUTS'!C183="","",'01_INPUTS'!C183)</x:f>
      </x:c>
      <x:c r="D18" s="152" t="str">
        <x:v>psi</x:v>
      </x:c>
      <x:c r="E18" s="152" t="str">
        <x:v>NDS / manufacturer</x:v>
      </x:c>
      <x:c r="F18" s="152" t="str">
        <x:f>IF(C18="","MISSING","OK")</x:f>
        <x:v>MISSING</x:v>
      </x:c>
      <x:c r="G18" s="140"/>
      <x:c r="H18" s="140"/>
      <x:c r="I18" s="140"/>
      <x:c r="J18" s="140"/>
      <x:c r="K18" s="140"/>
      <x:c r="L18" s="140"/>
      <x:c r="M18" s="140"/>
      <x:c r="N18" s="140"/>
      <x:c r="O18" s="140"/>
      <x:c r="P18" s="140"/>
      <x:c r="Q18" s="140"/>
      <x:c r="R18" s="140"/>
    </x:row>
    <x:row r="19">
      <x:c r="B19" s="152" t="str">
        <x:v>End-Post Area A</x:v>
      </x:c>
      <x:c r="C19" s="152" t="str">
        <x:f>IF('01_INPUTS'!C184="","",'01_INPUTS'!C184)</x:f>
      </x:c>
      <x:c r="D19" s="152" t="str">
        <x:v>in²</x:v>
      </x:c>
      <x:c r="E19" s="152" t="str">
        <x:v>Member geometry</x:v>
      </x:c>
      <x:c r="F19" s="152" t="str">
        <x:f>IF(C19="","MISSING","OK")</x:f>
        <x:v>MISSING</x:v>
      </x:c>
      <x:c r="G19" s="140"/>
      <x:c r="H19" s="140"/>
      <x:c r="I19" s="140"/>
      <x:c r="J19" s="140"/>
      <x:c r="K19" s="140"/>
      <x:c r="L19" s="140"/>
      <x:c r="M19" s="140"/>
      <x:c r="N19" s="140"/>
      <x:c r="O19" s="140"/>
      <x:c r="P19" s="140"/>
      <x:c r="Q19" s="140"/>
      <x:c r="R19" s="140"/>
    </x:row>
    <x:row r="20">
      <x:c r="B20" s="152" t="str">
        <x:v>Anchorage Deformation Δa</x:v>
      </x:c>
      <x:c r="C20" s="152" t="str">
        <x:f>IF('01_INPUTS'!C185="","",'01_INPUTS'!C185)</x:f>
      </x:c>
      <x:c r="D20" s="152" t="str">
        <x:v>in</x:v>
      </x:c>
      <x:c r="E20" s="152" t="str">
        <x:v>Hardware / rational analysis</x:v>
      </x:c>
      <x:c r="F20" s="152" t="str">
        <x:f>IF(C20="","MISSING","OK")</x:f>
        <x:v>MISSING</x:v>
      </x:c>
      <x:c r="G20" s="140"/>
      <x:c r="H20" s="140"/>
      <x:c r="I20" s="140"/>
      <x:c r="J20" s="140"/>
      <x:c r="K20" s="140"/>
      <x:c r="L20" s="140"/>
      <x:c r="M20" s="140"/>
      <x:c r="N20" s="140"/>
      <x:c r="O20" s="140"/>
      <x:c r="P20" s="140"/>
      <x:c r="Q20" s="140"/>
      <x:c r="R20" s="140"/>
    </x:row>
    <x:row r="21">
      <x:c r="B21" s="152" t="str">
        <x:v>Other Capacity Factor Cother</x:v>
      </x:c>
      <x:c r="C21" s="152" t="str">
        <x:f>IF('01_INPUTS'!C186="","",'01_INPUTS'!C186)</x:f>
      </x:c>
      <x:c r="D21" s="152" t="str"/>
      <x:c r="E21" s="152" t="str">
        <x:v>Controlled sourced factors</x:v>
      </x:c>
      <x:c r="F21" s="152" t="str">
        <x:f>IF(C21="","MISSING","OK")</x:f>
        <x:v>MISSING</x:v>
      </x:c>
      <x:c r="G21" s="140"/>
      <x:c r="H21" s="140"/>
      <x:c r="I21" s="140"/>
      <x:c r="J21" s="140"/>
      <x:c r="K21" s="140"/>
      <x:c r="L21" s="140"/>
      <x:c r="M21" s="140"/>
      <x:c r="N21" s="140"/>
      <x:c r="O21" s="140"/>
      <x:c r="P21" s="140"/>
      <x:c r="Q21" s="140"/>
      <x:c r="R21" s="140"/>
    </x:row>
    <x:row r="22">
      <x:c r="B22" s="152" t="str">
        <x:v>Permissible Wall Deflection</x:v>
      </x:c>
      <x:c r="C22" s="152" t="str">
        <x:f>IF('01_INPUTS'!C187="","",'01_INPUTS'!C187)</x:f>
      </x:c>
      <x:c r="D22" s="152" t="str">
        <x:v>in</x:v>
      </x:c>
      <x:c r="E22" s="152" t="str">
        <x:v>Project/code criterion</x:v>
      </x:c>
      <x:c r="F22" s="152" t="str">
        <x:f>IF(C22="","MISSING","OK")</x:f>
        <x:v>MISSING</x:v>
      </x:c>
      <x:c r="G22" s="140"/>
      <x:c r="H22" s="140"/>
      <x:c r="I22" s="140"/>
      <x:c r="J22" s="140"/>
      <x:c r="K22" s="140"/>
      <x:c r="L22" s="140"/>
      <x:c r="M22" s="140"/>
      <x:c r="N22" s="140"/>
      <x:c r="O22" s="140"/>
      <x:c r="P22" s="140"/>
      <x:c r="Q22" s="140"/>
      <x:c r="R22" s="140"/>
    </x:row>
    <x:row r="23">
      <x:c r="B23" s="152" t="str">
        <x:v>Capacity Source Record</x:v>
      </x:c>
      <x:c r="C23" s="152" t="str">
        <x:f>IF('01_INPUTS'!C188="","",'01_INPUTS'!C188)</x:f>
      </x:c>
      <x:c r="D23" s="152" t="str"/>
      <x:c r="E23" s="152" t="str">
        <x:v>Source register</x:v>
      </x:c>
      <x:c r="F23" s="152" t="str">
        <x:f>IF(C23="","MISSING","OK")</x:f>
        <x:v>MISSING</x:v>
      </x:c>
      <x:c r="G23" s="140"/>
      <x:c r="H23" s="140"/>
      <x:c r="I23" s="140"/>
      <x:c r="J23" s="140"/>
      <x:c r="K23" s="140"/>
      <x:c r="L23" s="140"/>
      <x:c r="M23" s="140"/>
      <x:c r="N23" s="140"/>
      <x:c r="O23" s="140"/>
      <x:c r="P23" s="140"/>
      <x:c r="Q23" s="140"/>
      <x:c r="R23" s="140"/>
    </x:row>
    <x:row r="24">
      <x:c r="B24" s="152" t="str">
        <x:v>Stiffness Source Record</x:v>
      </x:c>
      <x:c r="C24" s="152" t="str">
        <x:f>IF('01_INPUTS'!C189="","",'01_INPUTS'!C189)</x:f>
      </x:c>
      <x:c r="D24" s="152" t="str"/>
      <x:c r="E24" s="152" t="str">
        <x:v>Source register</x:v>
      </x:c>
      <x:c r="F24" s="152" t="str">
        <x:f>IF(C24="","MISSING","OK")</x:f>
        <x:v>MISSING</x:v>
      </x:c>
      <x:c r="G24" s="140"/>
      <x:c r="H24" s="140"/>
      <x:c r="I24" s="140"/>
      <x:c r="J24" s="140"/>
      <x:c r="K24" s="140"/>
      <x:c r="L24" s="140"/>
      <x:c r="M24" s="140"/>
      <x:c r="N24" s="140"/>
      <x:c r="O24" s="140"/>
      <x:c r="P24" s="140"/>
      <x:c r="Q24" s="140"/>
      <x:c r="R24" s="140"/>
    </x:row>
    <x:row r="25">
      <x:c r="B25" s="152" t="str">
        <x:v>Review Notes</x:v>
      </x:c>
      <x:c r="C25" s="152" t="str">
        <x:f>IF('01_INPUTS'!C190="","",'01_INPUTS'!C190)</x:f>
      </x:c>
      <x:c r="D25" s="152" t="str"/>
      <x:c r="E25" s="152" t="str">
        <x:v>Engineer review</x:v>
      </x:c>
      <x:c r="F25" s="152" t="str">
        <x:f>IF(C25="","MISSING","OK")</x:f>
        <x:v>MISSING</x:v>
      </x:c>
      <x:c r="G25" s="140"/>
      <x:c r="H25" s="140"/>
      <x:c r="I25" s="140"/>
      <x:c r="J25" s="140"/>
      <x:c r="K25" s="140"/>
      <x:c r="L25" s="140"/>
      <x:c r="M25" s="140"/>
      <x:c r="N25" s="140"/>
      <x:c r="O25" s="140"/>
      <x:c r="P25" s="140"/>
      <x:c r="Q25" s="140"/>
      <x:c r="R25" s="140"/>
    </x:row>
    <x:row r="26">
      <x:c r="B26" s="140"/>
      <x:c r="C26" s="140"/>
      <x:c r="D26" s="140"/>
      <x:c r="E26" s="140"/>
      <x:c r="F26" s="140"/>
      <x:c r="G26" s="140"/>
      <x:c r="H26" s="140"/>
      <x:c r="I26" s="140"/>
      <x:c r="J26" s="140"/>
      <x:c r="K26" s="140"/>
      <x:c r="L26" s="140"/>
      <x:c r="M26" s="140"/>
      <x:c r="N26" s="140"/>
      <x:c r="O26" s="140"/>
      <x:c r="P26" s="140"/>
      <x:c r="Q26" s="140"/>
      <x:c r="R26" s="140"/>
    </x:row>
    <x:row r="27">
      <x:c r="B27" s="140"/>
      <x:c r="C27" s="140"/>
      <x:c r="D27" s="140"/>
      <x:c r="E27" s="140"/>
      <x:c r="F27" s="140"/>
      <x:c r="G27" s="140"/>
      <x:c r="H27" s="140"/>
      <x:c r="I27" s="140"/>
      <x:c r="J27" s="140"/>
      <x:c r="K27" s="140"/>
      <x:c r="L27" s="140"/>
      <x:c r="M27" s="140"/>
      <x:c r="N27" s="140"/>
      <x:c r="O27" s="140"/>
      <x:c r="P27" s="140"/>
      <x:c r="Q27" s="140"/>
      <x:c r="R27" s="140"/>
    </x:row>
    <x:row r="28">
      <x:c r="B28" s="394" t="str">
        <x:v>STRENGTH / ASPECT-RATIO CHECK</x:v>
      </x:c>
      <x:c r="C28" s="394"/>
      <x:c r="D28" s="394"/>
      <x:c r="E28" s="394"/>
      <x:c r="F28" s="394"/>
      <x:c r="G28" s="140"/>
      <x:c r="H28" s="140"/>
      <x:c r="I28" s="140"/>
      <x:c r="J28" s="140"/>
      <x:c r="K28" s="140"/>
      <x:c r="L28" s="140"/>
      <x:c r="M28" s="140"/>
      <x:c r="N28" s="140"/>
      <x:c r="O28" s="140"/>
      <x:c r="P28" s="140"/>
      <x:c r="Q28" s="140"/>
      <x:c r="R28" s="140"/>
    </x:row>
    <x:row r="29">
      <x:c r="B29" s="407" t="str">
        <x:v>Check</x:v>
      </x:c>
      <x:c r="C29" s="407" t="str">
        <x:v>Result</x:v>
      </x:c>
      <x:c r="D29" s="407" t="str">
        <x:v>Unit</x:v>
      </x:c>
      <x:c r="E29" s="407" t="str">
        <x:v>Basis</x:v>
      </x:c>
      <x:c r="F29" s="140"/>
      <x:c r="G29" s="140"/>
      <x:c r="H29" s="140"/>
      <x:c r="I29" s="140"/>
      <x:c r="J29" s="140"/>
      <x:c r="K29" s="140"/>
      <x:c r="L29" s="140"/>
      <x:c r="M29" s="140"/>
      <x:c r="N29" s="140"/>
      <x:c r="O29" s="140"/>
      <x:c r="P29" s="140"/>
      <x:c r="Q29" s="140"/>
      <x:c r="R29" s="140"/>
    </x:row>
    <x:row r="30">
      <x:c r="B30" s="152" t="str">
        <x:v>ASD Reduction Factor</x:v>
      </x:c>
      <x:c r="C30" s="415" t="str">
        <x:f>IF(C9="WIND",2,IF(C9="SEISMIC",2.8,""))</x:f>
      </x:c>
      <x:c r="D30" s="152" t="str"/>
      <x:c r="E30" s="152" t="str">
        <x:v>SDPWS 4.1.4</x:v>
      </x:c>
      <x:c r="F30" s="140"/>
      <x:c r="G30" s="140"/>
      <x:c r="H30" s="140"/>
      <x:c r="I30" s="140"/>
      <x:c r="J30" s="140"/>
      <x:c r="K30" s="140"/>
      <x:c r="L30" s="140"/>
      <x:c r="M30" s="140"/>
      <x:c r="N30" s="140"/>
      <x:c r="O30" s="140"/>
      <x:c r="P30" s="140"/>
      <x:c r="Q30" s="140"/>
      <x:c r="R30" s="140"/>
    </x:row>
    <x:row r="31">
      <x:c r="B31" s="152" t="str">
        <x:v>Segment Aspect Ratio h/b</x:v>
      </x:c>
      <x:c r="C31" s="415" t="str">
        <x:f>IFERROR(C13/C15,"")</x:f>
      </x:c>
      <x:c r="D31" s="152" t="str"/>
      <x:c r="E31" s="152" t="str">
        <x:v>Geometry</x:v>
      </x:c>
      <x:c r="F31" s="140"/>
      <x:c r="G31" s="140"/>
      <x:c r="H31" s="140"/>
      <x:c r="I31" s="140"/>
      <x:c r="J31" s="140"/>
      <x:c r="K31" s="140"/>
      <x:c r="L31" s="140"/>
      <x:c r="M31" s="140"/>
      <x:c r="N31" s="140"/>
      <x:c r="O31" s="140"/>
      <x:c r="P31" s="140"/>
      <x:c r="Q31" s="140"/>
      <x:c r="R31" s="140"/>
    </x:row>
    <x:row r="32">
      <x:c r="B32" s="152" t="str">
        <x:v>Aspect Ratio Status</x:v>
      </x:c>
      <x:c r="C32" s="415" t="str">
        <x:f>IF(C31="","",IF(AND(C11="WSP",C31&lt;=3.5),"PASS",IF(AND(C11="WSP",C31&gt;3.5),"FAIL","REVIEW")))</x:f>
      </x:c>
      <x:c r="D32" s="152" t="str"/>
      <x:c r="E32" s="152" t="str">
        <x:v>SDPWS 4.3.3 / assembly-specific</x:v>
      </x:c>
      <x:c r="F32" s="140"/>
      <x:c r="G32" s="140"/>
      <x:c r="H32" s="140"/>
      <x:c r="I32" s="140"/>
      <x:c r="J32" s="140"/>
      <x:c r="K32" s="140"/>
      <x:c r="L32" s="140"/>
      <x:c r="M32" s="140"/>
      <x:c r="N32" s="140"/>
      <x:c r="O32" s="140"/>
      <x:c r="P32" s="140"/>
      <x:c r="Q32" s="140"/>
      <x:c r="R32" s="140"/>
    </x:row>
    <x:row r="33">
      <x:c r="B33" s="152" t="str">
        <x:v>WSP Aspect Ratio Factor</x:v>
      </x:c>
      <x:c r="C33" s="415" t="str">
        <x:f>IF(C31="","",IF(OR(C10="PERFORATED",C11&lt;&gt;"WSP"),1,IF(C31&lt;=2,1,IF(C31&lt;=3.5,1.25-0.125*C31,0))))</x:f>
      </x:c>
      <x:c r="D33" s="152" t="str"/>
      <x:c r="E33" s="152" t="str">
        <x:v>SDPWS 4.3.3.2</x:v>
      </x:c>
      <x:c r="F33" s="140"/>
      <x:c r="G33" s="140"/>
      <x:c r="H33" s="140"/>
      <x:c r="I33" s="140"/>
      <x:c r="J33" s="140"/>
      <x:c r="K33" s="140"/>
      <x:c r="L33" s="140"/>
      <x:c r="M33" s="140"/>
      <x:c r="N33" s="140"/>
      <x:c r="O33" s="140"/>
      <x:c r="P33" s="140"/>
      <x:c r="Q33" s="140"/>
      <x:c r="R33" s="140"/>
    </x:row>
    <x:row r="34">
      <x:c r="B34" s="152" t="str">
        <x:v>Governing Capacity Factor</x:v>
      </x:c>
      <x:c r="C34" s="415" t="n">
        <x:f>IFERROR(C33*C21,"")</x:f>
        <x:v>0</x:v>
      </x:c>
      <x:c r="D34" s="152" t="str"/>
      <x:c r="E34" s="152" t="str">
        <x:v>CAR × Cother</x:v>
      </x:c>
      <x:c r="F34" s="140"/>
      <x:c r="G34" s="140"/>
      <x:c r="H34" s="140"/>
      <x:c r="I34" s="140"/>
      <x:c r="J34" s="140"/>
      <x:c r="K34" s="140"/>
      <x:c r="L34" s="140"/>
      <x:c r="M34" s="140"/>
      <x:c r="N34" s="140"/>
      <x:c r="O34" s="140"/>
      <x:c r="P34" s="140"/>
      <x:c r="Q34" s="140"/>
      <x:c r="R34" s="140"/>
    </x:row>
    <x:row r="35">
      <x:c r="B35" s="152" t="str">
        <x:v>Allowable Unit Shear</x:v>
      </x:c>
      <x:c r="C35" s="415" t="str">
        <x:f>IFERROR(C16/C30*C34,"")</x:f>
      </x:c>
      <x:c r="D35" s="152" t="str">
        <x:v>plf</x:v>
      </x:c>
      <x:c r="E35" s="152" t="str">
        <x:v>vn / ASD factor × adjustments</x:v>
      </x:c>
      <x:c r="F35" s="140"/>
      <x:c r="G35" s="140"/>
      <x:c r="H35" s="140"/>
      <x:c r="I35" s="140"/>
      <x:c r="J35" s="140"/>
      <x:c r="K35" s="140"/>
      <x:c r="L35" s="140"/>
      <x:c r="M35" s="140"/>
      <x:c r="N35" s="140"/>
      <x:c r="O35" s="140"/>
      <x:c r="P35" s="140"/>
      <x:c r="Q35" s="140"/>
      <x:c r="R35" s="140"/>
    </x:row>
    <x:row r="36">
      <x:c r="B36" s="152" t="str">
        <x:v>Induced Unit Shear</x:v>
      </x:c>
      <x:c r="C36" s="415" t="str">
        <x:f>IFERROR(C12/C14,"")</x:f>
      </x:c>
      <x:c r="D36" s="152" t="str">
        <x:v>plf</x:v>
      </x:c>
      <x:c r="E36" s="152" t="str">
        <x:v>V / Σb</x:v>
      </x:c>
      <x:c r="F36" s="140"/>
      <x:c r="G36" s="140"/>
      <x:c r="H36" s="140"/>
      <x:c r="I36" s="140"/>
      <x:c r="J36" s="140"/>
      <x:c r="K36" s="140"/>
      <x:c r="L36" s="140"/>
      <x:c r="M36" s="140"/>
      <x:c r="N36" s="140"/>
      <x:c r="O36" s="140"/>
      <x:c r="P36" s="140"/>
      <x:c r="Q36" s="140"/>
      <x:c r="R36" s="140"/>
    </x:row>
    <x:row r="37">
      <x:c r="B37" s="152" t="str">
        <x:v>Total ASD Shear Capacity</x:v>
      </x:c>
      <x:c r="C37" s="415" t="n">
        <x:f>IFERROR(C35*C14,"")</x:f>
        <x:v>0</x:v>
      </x:c>
      <x:c r="D37" s="152" t="str">
        <x:v>lb</x:v>
      </x:c>
      <x:c r="E37" s="152" t="str">
        <x:v>vallow × Σb</x:v>
      </x:c>
      <x:c r="F37" s="140"/>
      <x:c r="G37" s="140"/>
      <x:c r="H37" s="140"/>
      <x:c r="I37" s="140"/>
      <x:c r="J37" s="140"/>
      <x:c r="K37" s="140"/>
      <x:c r="L37" s="140"/>
      <x:c r="M37" s="140"/>
      <x:c r="N37" s="140"/>
      <x:c r="O37" s="140"/>
      <x:c r="P37" s="140"/>
      <x:c r="Q37" s="140"/>
      <x:c r="R37" s="140"/>
    </x:row>
    <x:row r="38">
      <x:c r="B38" s="152" t="str">
        <x:v>Strength Utilization D/C</x:v>
      </x:c>
      <x:c r="C38" s="415" t="str">
        <x:f>IFERROR(C12/C37,"")</x:f>
      </x:c>
      <x:c r="D38" s="152" t="str"/>
      <x:c r="E38" s="152" t="str">
        <x:v>Demand / capacity</x:v>
      </x:c>
      <x:c r="F38" s="140"/>
      <x:c r="G38" s="140"/>
      <x:c r="H38" s="140"/>
      <x:c r="I38" s="140"/>
      <x:c r="J38" s="140"/>
      <x:c r="K38" s="140"/>
      <x:c r="L38" s="140"/>
      <x:c r="M38" s="140"/>
      <x:c r="N38" s="140"/>
      <x:c r="O38" s="140"/>
      <x:c r="P38" s="140"/>
      <x:c r="Q38" s="140"/>
      <x:c r="R38" s="140"/>
    </x:row>
    <x:row r="39">
      <x:c r="B39" s="152" t="str">
        <x:v>Mechanics Overturning Couple</x:v>
      </x:c>
      <x:c r="C39" s="415" t="str">
        <x:f>IFERROR(C12*C13/C14,"")</x:f>
      </x:c>
      <x:c r="D39" s="152" t="str">
        <x:v>lb</x:v>
      </x:c>
      <x:c r="E39" s="152" t="str">
        <x:v>Vh / Σb; connection-design screen</x:v>
      </x:c>
      <x:c r="F39" s="140"/>
      <x:c r="G39" s="140"/>
      <x:c r="H39" s="140"/>
      <x:c r="I39" s="140"/>
      <x:c r="J39" s="140"/>
      <x:c r="K39" s="140"/>
      <x:c r="L39" s="140"/>
      <x:c r="M39" s="140"/>
      <x:c r="N39" s="140"/>
      <x:c r="O39" s="140"/>
      <x:c r="P39" s="140"/>
      <x:c r="Q39" s="140"/>
      <x:c r="R39" s="140"/>
    </x:row>
    <x:row r="40">
      <x:c r="B40" s="140"/>
      <x:c r="C40" s="239"/>
      <x:c r="D40" s="140"/>
      <x:c r="E40" s="140"/>
      <x:c r="F40" s="140"/>
      <x:c r="G40" s="140"/>
      <x:c r="H40" s="140"/>
      <x:c r="I40" s="140"/>
      <x:c r="J40" s="140"/>
      <x:c r="K40" s="140"/>
      <x:c r="L40" s="140"/>
      <x:c r="M40" s="140"/>
      <x:c r="N40" s="140"/>
      <x:c r="O40" s="140"/>
      <x:c r="P40" s="140"/>
      <x:c r="Q40" s="140"/>
      <x:c r="R40" s="140"/>
    </x:row>
    <x:row r="41">
      <x:c r="B41" s="140"/>
      <x:c r="C41" s="239"/>
      <x:c r="D41" s="140"/>
      <x:c r="E41" s="140"/>
      <x:c r="F41" s="140"/>
      <x:c r="G41" s="140"/>
      <x:c r="H41" s="140"/>
      <x:c r="I41" s="140"/>
      <x:c r="J41" s="140"/>
      <x:c r="K41" s="140"/>
      <x:c r="L41" s="140"/>
      <x:c r="M41" s="140"/>
      <x:c r="N41" s="140"/>
      <x:c r="O41" s="140"/>
      <x:c r="P41" s="140"/>
      <x:c r="Q41" s="140"/>
      <x:c r="R41" s="140"/>
    </x:row>
    <x:row r="42">
      <x:c r="B42" s="394" t="str">
        <x:v>DEFLECTION — SDPWS 4.3-1 THREE-TERM FORM</x:v>
      </x:c>
      <x:c r="C42" s="416"/>
      <x:c r="D42" s="394"/>
      <x:c r="E42" s="394"/>
      <x:c r="F42" s="394"/>
      <x:c r="G42" s="140"/>
      <x:c r="H42" s="140"/>
      <x:c r="I42" s="140"/>
      <x:c r="J42" s="140"/>
      <x:c r="K42" s="140"/>
      <x:c r="L42" s="140"/>
      <x:c r="M42" s="140"/>
      <x:c r="N42" s="140"/>
      <x:c r="O42" s="140"/>
      <x:c r="P42" s="140"/>
      <x:c r="Q42" s="140"/>
      <x:c r="R42" s="140"/>
    </x:row>
    <x:row r="43">
      <x:c r="B43" s="407" t="str">
        <x:v>Component</x:v>
      </x:c>
      <x:c r="C43" s="417" t="str">
        <x:v>Result</x:v>
      </x:c>
      <x:c r="D43" s="407" t="str">
        <x:v>Unit</x:v>
      </x:c>
      <x:c r="E43" s="407" t="str">
        <x:v>Equation / Basis</x:v>
      </x:c>
      <x:c r="F43" s="140"/>
      <x:c r="G43" s="140"/>
      <x:c r="H43" s="140"/>
      <x:c r="I43" s="140"/>
      <x:c r="J43" s="140"/>
      <x:c r="K43" s="140"/>
      <x:c r="L43" s="140"/>
      <x:c r="M43" s="140"/>
      <x:c r="N43" s="140"/>
      <x:c r="O43" s="140"/>
      <x:c r="P43" s="140"/>
      <x:c r="Q43" s="140"/>
      <x:c r="R43" s="140"/>
    </x:row>
    <x:row r="44">
      <x:c r="B44" s="152" t="str">
        <x:v>Framing Bending</x:v>
      </x:c>
      <x:c r="C44" s="415" t="str">
        <x:f>IFERROR(8*C36*C13^3/(C18*C19*C15),"")</x:f>
      </x:c>
      <x:c r="D44" s="152" t="str">
        <x:v>in</x:v>
      </x:c>
      <x:c r="E44" s="152" t="str">
        <x:v>8vh³ / (EAb)</x:v>
      </x:c>
      <x:c r="F44" s="140"/>
      <x:c r="G44" s="140"/>
      <x:c r="H44" s="140"/>
      <x:c r="I44" s="140"/>
      <x:c r="J44" s="140"/>
      <x:c r="K44" s="140"/>
      <x:c r="L44" s="140"/>
      <x:c r="M44" s="140"/>
      <x:c r="N44" s="140"/>
      <x:c r="O44" s="140"/>
      <x:c r="P44" s="140"/>
      <x:c r="Q44" s="140"/>
      <x:c r="R44" s="140"/>
    </x:row>
    <x:row r="45">
      <x:c r="B45" s="152" t="str">
        <x:v>Panel Shear + Fastener Slip</x:v>
      </x:c>
      <x:c r="C45" s="415" t="str">
        <x:f>IFERROR(C36*C13/(1000*C17),"")</x:f>
      </x:c>
      <x:c r="D45" s="152" t="str">
        <x:v>in</x:v>
      </x:c>
      <x:c r="E45" s="152" t="str">
        <x:v>vh / (1000Ga)</x:v>
      </x:c>
      <x:c r="F45" s="140"/>
      <x:c r="G45" s="140"/>
      <x:c r="H45" s="140"/>
      <x:c r="I45" s="140"/>
      <x:c r="J45" s="140"/>
      <x:c r="K45" s="140"/>
      <x:c r="L45" s="140"/>
      <x:c r="M45" s="140"/>
      <x:c r="N45" s="140"/>
      <x:c r="O45" s="140"/>
      <x:c r="P45" s="140"/>
      <x:c r="Q45" s="140"/>
      <x:c r="R45" s="140"/>
    </x:row>
    <x:row r="46">
      <x:c r="B46" s="152" t="str">
        <x:v>Anchorage / Hold-down</x:v>
      </x:c>
      <x:c r="C46" s="415" t="str">
        <x:f>IFERROR(C13/C15*C20,"")</x:f>
      </x:c>
      <x:c r="D46" s="152" t="str">
        <x:v>in</x:v>
      </x:c>
      <x:c r="E46" s="152" t="str">
        <x:v>(h/b)Δa</x:v>
      </x:c>
      <x:c r="F46" s="140"/>
      <x:c r="G46" s="140"/>
      <x:c r="H46" s="140"/>
      <x:c r="I46" s="140"/>
      <x:c r="J46" s="140"/>
      <x:c r="K46" s="140"/>
      <x:c r="L46" s="140"/>
      <x:c r="M46" s="140"/>
      <x:c r="N46" s="140"/>
      <x:c r="O46" s="140"/>
      <x:c r="P46" s="140"/>
      <x:c r="Q46" s="140"/>
      <x:c r="R46" s="140"/>
    </x:row>
    <x:row r="47">
      <x:c r="B47" s="152" t="str">
        <x:v>Total Shear-Wall Deflection</x:v>
      </x:c>
      <x:c r="C47" s="415" t="n">
        <x:f>IFERROR(SUM(C44:C46),"")</x:f>
        <x:v>0</x:v>
      </x:c>
      <x:c r="D47" s="152" t="str">
        <x:v>in</x:v>
      </x:c>
      <x:c r="E47" s="152" t="str">
        <x:v>Sum of three terms</x:v>
      </x:c>
      <x:c r="F47" s="140"/>
      <x:c r="G47" s="140"/>
      <x:c r="H47" s="140"/>
      <x:c r="I47" s="140"/>
      <x:c r="J47" s="140"/>
      <x:c r="K47" s="140"/>
      <x:c r="L47" s="140"/>
      <x:c r="M47" s="140"/>
      <x:c r="N47" s="140"/>
      <x:c r="O47" s="140"/>
      <x:c r="P47" s="140"/>
      <x:c r="Q47" s="140"/>
      <x:c r="R47" s="140"/>
    </x:row>
    <x:row r="48">
      <x:c r="B48" s="152" t="str">
        <x:v>Deflection Utilization</x:v>
      </x:c>
      <x:c r="C48" s="415" t="str">
        <x:f>IFERROR(C47/C22,"")</x:f>
      </x:c>
      <x:c r="D48" s="152" t="str"/>
      <x:c r="E48" s="152" t="str">
        <x:v>Δ / Δpermitted</x:v>
      </x:c>
      <x:c r="F48" s="140"/>
      <x:c r="G48" s="140"/>
      <x:c r="H48" s="140"/>
      <x:c r="I48" s="140"/>
      <x:c r="J48" s="140"/>
      <x:c r="K48" s="140"/>
      <x:c r="L48" s="140"/>
      <x:c r="M48" s="140"/>
      <x:c r="N48" s="140"/>
      <x:c r="O48" s="140"/>
      <x:c r="P48" s="140"/>
      <x:c r="Q48" s="140"/>
      <x:c r="R48" s="140"/>
    </x:row>
    <x:row r="49">
      <x:c r="B49" s="152" t="str">
        <x:v>Drift Ratio Δ/h</x:v>
      </x:c>
      <x:c r="C49" s="415" t="str">
        <x:f>IFERROR(C47/(12*C13),"")</x:f>
      </x:c>
      <x:c r="D49" s="152" t="str"/>
      <x:c r="E49" s="152" t="str">
        <x:v>Informational</x:v>
      </x:c>
      <x:c r="F49" s="140"/>
      <x:c r="G49" s="140"/>
      <x:c r="H49" s="140"/>
      <x:c r="I49" s="140"/>
      <x:c r="J49" s="140"/>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394" t="str">
        <x:v>CONTROLLED REVIEW GATES</x:v>
      </x:c>
      <x:c r="C52" s="394"/>
      <x:c r="D52" s="394"/>
      <x:c r="E52" s="394"/>
      <x:c r="F52" s="394"/>
      <x:c r="G52" s="394"/>
      <x:c r="H52" s="394"/>
      <x:c r="I52" s="394"/>
      <x:c r="J52" s="394"/>
      <x:c r="K52" s="140"/>
      <x:c r="L52" s="140"/>
      <x:c r="M52" s="140"/>
      <x:c r="N52" s="140"/>
      <x:c r="O52" s="140"/>
      <x:c r="P52" s="140"/>
      <x:c r="Q52" s="140"/>
      <x:c r="R52" s="140"/>
    </x:row>
    <x:row r="53" ht="22" customHeight="1">
      <x:c r="B53" s="407" t="str">
        <x:v>Gate</x:v>
      </x:c>
      <x:c r="C53" s="407" t="str">
        <x:v>Status</x:v>
      </x:c>
      <x:c r="D53" s="407" t="str">
        <x:v>Reason / action</x:v>
      </x:c>
      <x:c r="E53" s="407" t="str"/>
      <x:c r="F53" s="407" t="str"/>
      <x:c r="G53" s="407" t="str"/>
      <x:c r="H53" s="407" t="str"/>
      <x:c r="I53" s="407" t="str"/>
      <x:c r="J53" s="407" t="str"/>
      <x:c r="K53" s="140"/>
      <x:c r="L53" s="140"/>
      <x:c r="M53" s="140"/>
      <x:c r="N53" s="140"/>
      <x:c r="O53" s="140"/>
      <x:c r="P53" s="140"/>
      <x:c r="Q53" s="140"/>
      <x:c r="R53" s="140"/>
    </x:row>
    <x:row r="54" ht="38" customHeight="1">
      <x:c r="B54" s="152" t="str">
        <x:v>Perforated wall method</x:v>
      </x:c>
      <x:c r="C54" s="152" t="str">
        <x:f>IF(C10="PERFORATED","REVIEW","N/A")</x:f>
        <x:v>N/A</x:v>
      </x:c>
      <x:c r="D54" s="152" t="str">
        <x:v>If used, populate Cother/effective-length treatment from licensed SDPWS and verify Co/opening geometry.</x:v>
      </x:c>
      <x:c r="E54" s="152" t="str"/>
      <x:c r="F54" s="152" t="str"/>
      <x:c r="G54" s="152" t="str"/>
      <x:c r="H54" s="152" t="str"/>
      <x:c r="I54" s="152" t="str"/>
      <x:c r="J54" s="152" t="str"/>
      <x:c r="K54" s="140"/>
      <x:c r="L54" s="140"/>
      <x:c r="M54" s="140"/>
      <x:c r="N54" s="140"/>
      <x:c r="O54" s="140"/>
      <x:c r="P54" s="140"/>
      <x:c r="Q54" s="140"/>
      <x:c r="R54" s="140"/>
    </x:row>
    <x:row r="55" ht="38" customHeight="1">
      <x:c r="B55" s="152" t="str">
        <x:v>FTAO method</x:v>
      </x:c>
      <x:c r="C55" s="152" t="str">
        <x:f>IF(C10="FTAO","REVIEW","N/A")</x:f>
        <x:v>N/A</x:v>
      </x:c>
      <x:c r="D55" s="152" t="str">
        <x:v>Verify force-transfer-around-openings straps/collectors/chords and boundary forces.</x:v>
      </x:c>
      <x:c r="E55" s="152" t="str"/>
      <x:c r="F55" s="152" t="str"/>
      <x:c r="G55" s="152" t="str"/>
      <x:c r="H55" s="152" t="str"/>
      <x:c r="I55" s="152" t="str"/>
      <x:c r="J55" s="152" t="str"/>
      <x:c r="K55" s="140"/>
      <x:c r="L55" s="140"/>
      <x:c r="M55" s="140"/>
      <x:c r="N55" s="140"/>
      <x:c r="O55" s="140"/>
      <x:c r="P55" s="140"/>
      <x:c r="Q55" s="140"/>
      <x:c r="R55" s="140"/>
    </x:row>
    <x:row r="56" ht="38" customHeight="1">
      <x:c r="B56" s="152" t="str">
        <x:v>Two-sided / dissimilar sheathing</x:v>
      </x:c>
      <x:c r="C56" s="152" t="str">
        <x:v>REVIEW</x:v>
      </x:c>
      <x:c r="D56" s="152" t="str">
        <x:v>Verify combined capacity/stiffness provisions and fastening compatibility.</x:v>
      </x:c>
      <x:c r="E56" s="152" t="str"/>
      <x:c r="F56" s="152" t="str"/>
      <x:c r="G56" s="152" t="str"/>
      <x:c r="H56" s="152" t="str"/>
      <x:c r="I56" s="152" t="str"/>
      <x:c r="J56" s="152" t="str"/>
      <x:c r="K56" s="140"/>
      <x:c r="L56" s="140"/>
      <x:c r="M56" s="140"/>
      <x:c r="N56" s="140"/>
      <x:c r="O56" s="140"/>
      <x:c r="P56" s="140"/>
      <x:c r="Q56" s="140"/>
      <x:c r="R56" s="140"/>
    </x:row>
    <x:row r="57" ht="38" customHeight="1">
      <x:c r="B57" s="152" t="str">
        <x:v>Anchorage hardware</x:v>
      </x:c>
      <x:c r="C57" s="152" t="str">
        <x:v>REVIEW</x:v>
      </x:c>
      <x:c r="D57" s="152" t="str">
        <x:v>Design hold-downs, anchor rods, sill anchorage, post bearing, and load path in connection module.</x:v>
      </x:c>
      <x:c r="E57" s="152" t="str"/>
      <x:c r="F57" s="152" t="str"/>
      <x:c r="G57" s="152" t="str"/>
      <x:c r="H57" s="152" t="str"/>
      <x:c r="I57" s="152" t="str"/>
      <x:c r="J57" s="152" t="str"/>
      <x:c r="K57" s="140"/>
      <x:c r="L57" s="140"/>
      <x:c r="M57" s="140"/>
      <x:c r="N57" s="140"/>
      <x:c r="O57" s="140"/>
      <x:c r="P57" s="140"/>
      <x:c r="Q57" s="140"/>
      <x:c r="R57" s="140"/>
    </x:row>
    <x:row r="58" ht="38" customHeight="1">
      <x:c r="B58" s="152" t="str">
        <x:v>Deflection applicability</x:v>
      </x:c>
      <x:c r="C58" s="152" t="str">
        <x:v>REVIEW</x:v>
      </x:c>
      <x:c r="D58" s="152" t="str">
        <x:v>Ga and Δa must correspond to the induced load level and selected assembly/hardware.</x:v>
      </x:c>
      <x:c r="E58" s="152" t="str"/>
      <x:c r="F58" s="152" t="str"/>
      <x:c r="G58" s="152" t="str"/>
      <x:c r="H58" s="152" t="str"/>
      <x:c r="I58" s="152" t="str"/>
      <x:c r="J58" s="152" t="str"/>
      <x:c r="K58" s="140"/>
      <x:c r="L58" s="140"/>
      <x:c r="M58" s="140"/>
      <x:c r="N58" s="140"/>
      <x:c r="O58" s="140"/>
      <x:c r="P58" s="140"/>
      <x:c r="Q58" s="140"/>
      <x:c r="R58" s="140"/>
    </x:row>
    <x:row r="59" ht="38" customHeight="1">
      <x:c r="B59" s="152" t="str">
        <x:v>Publication gate</x:v>
      </x:c>
      <x:c r="C59" s="152" t="str">
        <x:v>REVIEW</x:v>
      </x:c>
      <x:c r="D59" s="152" t="str">
        <x:v>Engineer review required before construction-document issue.</x:v>
      </x:c>
      <x:c r="E59" s="152" t="str"/>
      <x:c r="F59" s="152" t="str"/>
      <x:c r="G59" s="152" t="str"/>
      <x:c r="H59" s="152" t="str"/>
      <x:c r="I59" s="152" t="str"/>
      <x:c r="J59" s="152" t="str"/>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row r="71">
      <x:c r="B71" s="140"/>
      <x:c r="C71" s="140"/>
      <x:c r="D71" s="140"/>
      <x:c r="E71" s="140"/>
      <x:c r="F71" s="140"/>
      <x:c r="G71" s="140"/>
      <x:c r="H71" s="140"/>
      <x:c r="I71" s="140"/>
      <x:c r="J71" s="140"/>
      <x:c r="K71" s="140"/>
      <x:c r="L71" s="140"/>
      <x:c r="M71" s="140"/>
      <x:c r="N71" s="140"/>
      <x:c r="O71" s="140"/>
      <x:c r="P71" s="140"/>
      <x:c r="Q71" s="140"/>
      <x:c r="R71" s="140"/>
    </x:row>
    <x:row r="72">
      <x:c r="B72" s="140"/>
      <x:c r="C72" s="140"/>
      <x:c r="D72" s="140"/>
      <x:c r="E72" s="140"/>
      <x:c r="F72" s="140"/>
      <x:c r="G72" s="140"/>
      <x:c r="H72" s="140"/>
      <x:c r="I72" s="140"/>
      <x:c r="J72" s="140"/>
      <x:c r="K72" s="140"/>
      <x:c r="L72" s="140"/>
      <x:c r="M72" s="140"/>
      <x:c r="N72" s="140"/>
      <x:c r="O72" s="140"/>
      <x:c r="P72" s="140"/>
      <x:c r="Q72" s="140"/>
      <x:c r="R72" s="140"/>
    </x:row>
    <x:row r="73">
      <x:c r="B73" s="140"/>
      <x:c r="C73" s="140"/>
      <x:c r="D73" s="140"/>
      <x:c r="E73" s="140"/>
      <x:c r="F73" s="140"/>
      <x:c r="G73" s="140"/>
      <x:c r="H73" s="140"/>
      <x:c r="I73" s="140"/>
      <x:c r="J73" s="140"/>
      <x:c r="K73" s="140"/>
      <x:c r="L73" s="140"/>
      <x:c r="M73" s="140"/>
      <x:c r="N73" s="140"/>
      <x:c r="O73" s="140"/>
      <x:c r="P73" s="140"/>
      <x:c r="Q73" s="140"/>
      <x:c r="R73" s="140"/>
    </x:row>
    <x:row r="74">
      <x:c r="B74" s="140"/>
      <x:c r="C74" s="140"/>
      <x:c r="D74" s="140"/>
      <x:c r="E74" s="140"/>
      <x:c r="F74" s="140"/>
      <x:c r="G74" s="140"/>
      <x:c r="H74" s="140"/>
      <x:c r="I74" s="140"/>
      <x:c r="J74" s="140"/>
      <x:c r="K74" s="140"/>
      <x:c r="L74" s="140"/>
      <x:c r="M74" s="140"/>
      <x:c r="N74" s="140"/>
      <x:c r="O74" s="140"/>
      <x:c r="P74" s="140"/>
      <x:c r="Q74" s="140"/>
      <x:c r="R74" s="140"/>
    </x:row>
    <x:row r="75">
      <x:c r="B75" s="140"/>
      <x:c r="C75" s="140"/>
      <x:c r="D75" s="140"/>
      <x:c r="E75" s="140"/>
      <x:c r="F75" s="140"/>
      <x:c r="G75" s="140"/>
      <x:c r="H75" s="140"/>
      <x:c r="I75" s="140"/>
      <x:c r="J75" s="140"/>
      <x:c r="K75" s="140"/>
      <x:c r="L75" s="140"/>
      <x:c r="M75" s="140"/>
      <x:c r="N75" s="140"/>
      <x:c r="O75" s="140"/>
      <x:c r="P75" s="140"/>
      <x:c r="Q75" s="140"/>
      <x:c r="R75" s="140"/>
    </x:row>
  </x:sheetData>
  <x:mergeCells>
    <x:mergeCell ref="B2:J2"/>
    <x:mergeCell ref="B4:J4"/>
    <x:mergeCell ref="B6:F6"/>
    <x:mergeCell ref="H6:J6"/>
    <x:mergeCell ref="B28:F28"/>
    <x:mergeCell ref="B42:F42"/>
    <x:mergeCell ref="B52:J52"/>
    <x:mergeCell ref="M2:R2"/>
    <x:mergeCell ref="M13:R15"/>
    <x:mergeCell ref="D54:J54"/>
    <x:mergeCell ref="D55:J55"/>
    <x:mergeCell ref="D56:J56"/>
    <x:mergeCell ref="D57:J57"/>
    <x:mergeCell ref="D58:J58"/>
    <x:mergeCell ref="D59:J59"/>
    <x:mergeCell ref="D53:J53"/>
  </x:mergeCells>
  <x:conditionalFormatting sqref="I7:I13">
    <x:cfRule type="expression" dxfId="92" priority="1">
      <x:formula>I7="PASS"</x:formula>
    </x:cfRule>
    <x:cfRule type="expression" dxfId="93" priority="2">
      <x:formula>I7="FAIL"</x:formula>
    </x:cfRule>
    <x:cfRule type="expression" dxfId="94" priority="3">
      <x:formula>OR(I7="REVIEW",I7="PENDING",I7="CHECK")</x:formula>
    </x:cfRule>
  </x:conditionalFormatting>
  <x:conditionalFormatting sqref="F8:F25">
    <x:cfRule type="expression" dxfId="95" priority="4">
      <x:formula>F8="PASS"</x:formula>
    </x:cfRule>
    <x:cfRule type="expression" dxfId="96" priority="5">
      <x:formula>F8="FAIL"</x:formula>
    </x:cfRule>
    <x:cfRule type="expression" dxfId="97" priority="6">
      <x:formula>OR(F8="REVIEW",F8="PENDING",F8="CHECK")</x:formula>
    </x:cfRule>
  </x:conditionalFormatting>
  <x:conditionalFormatting sqref="C32:C32">
    <x:cfRule type="expression" dxfId="98" priority="7">
      <x:formula>C32="PASS"</x:formula>
    </x:cfRule>
    <x:cfRule type="expression" dxfId="99" priority="8">
      <x:formula>C32="FAIL"</x:formula>
    </x:cfRule>
    <x:cfRule type="expression" dxfId="100" priority="9">
      <x:formula>OR(C32="REVIEW",C32="PENDING",C32="CHECK")</x:formula>
    </x:cfRule>
  </x:conditionalFormatting>
  <x:conditionalFormatting sqref="R4:R11">
    <x:cfRule type="expression" dxfId="101" priority="10">
      <x:formula>R4="PASS"</x:formula>
    </x:cfRule>
    <x:cfRule type="expression" dxfId="102" priority="11">
      <x:formula>R4="FAIL"</x:formula>
    </x:cfRule>
    <x:cfRule type="expression" dxfId="103" priority="12">
      <x:formula>OR(R4="REVIEW",R4="PENDING",R4="CHECK")</x:formula>
    </x:cfRule>
  </x:conditionalFormatting>
  <x:pageMargins left="0.7" right="0.7" top="0.75" bottom="0.75" header="0.3" footer="0.3"/>
</x:worksheet>
</file>

<file path=xl/worksheets/sheet29.xml><?xml version="1.0" encoding="utf-8"?>
<x:worksheet xmlns:x="http://schemas.openxmlformats.org/spreadsheetml/2006/main">
  <x:sheetFormatPr defaultRowHeight="15"/>
  <x:cols>
    <x:col min="2" max="2" width="31" hidden="0" customWidth="1"/>
    <x:col min="3" max="3" width="18" hidden="0" customWidth="1"/>
    <x:col min="4" max="4" width="12" hidden="0" customWidth="1"/>
    <x:col min="5" max="5" width="40" hidden="0" customWidth="1"/>
    <x:col min="6" max="6" width="12" hidden="0" customWidth="1"/>
    <x:col min="8" max="8" width="24" hidden="0" customWidth="1"/>
    <x:col min="9" max="9" width="14" hidden="0" customWidth="1"/>
    <x:col min="13" max="13" width="18" hidden="0" customWidth="1"/>
    <x:col min="14" max="14" width="40" hidden="0" customWidth="1"/>
    <x:col min="15" max="15" width="15" hidden="0" customWidth="1"/>
    <x:col min="16" max="16" width="15"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398" t="str">
        <x:v>WOOD-FRAME DIAPHRAGM DESIGN ENGINE — SDPWS 2021 (ASD)</x:v>
      </x:c>
      <x:c r="C2" s="398"/>
      <x:c r="D2" s="398"/>
      <x:c r="E2" s="398"/>
      <x:c r="F2" s="398"/>
      <x:c r="G2" s="398"/>
      <x:c r="H2" s="398"/>
      <x:c r="I2" s="398"/>
      <x:c r="J2" s="398"/>
      <x:c r="K2" s="140"/>
      <x:c r="L2" s="140"/>
      <x:c r="M2" s="394" t="str">
        <x:v>LOCKED MATH QA BENCHMARKS</x:v>
      </x:c>
      <x:c r="N2" s="394"/>
      <x:c r="O2" s="394"/>
      <x:c r="P2" s="394"/>
      <x:c r="Q2" s="394"/>
      <x:c r="R2" s="394"/>
    </x:row>
    <x:row r="3">
      <x:c r="B3" s="140"/>
      <x:c r="C3" s="140"/>
      <x:c r="D3" s="140"/>
      <x:c r="E3" s="140"/>
      <x:c r="F3" s="140"/>
      <x:c r="G3" s="140"/>
      <x:c r="H3" s="140"/>
      <x:c r="I3" s="140"/>
      <x:c r="J3" s="140"/>
      <x:c r="K3" s="140"/>
      <x:c r="L3" s="140"/>
      <x:c r="M3" s="407" t="str">
        <x:v>Test</x:v>
      </x:c>
      <x:c r="N3" s="407" t="str">
        <x:v>Inputs</x:v>
      </x:c>
      <x:c r="O3" s="407" t="str">
        <x:v>Expected</x:v>
      </x:c>
      <x:c r="P3" s="407" t="str">
        <x:v>Workbook</x:v>
      </x:c>
      <x:c r="Q3" s="407" t="str">
        <x:v>Abs Diff</x:v>
      </x:c>
      <x:c r="R3" s="407" t="str">
        <x:v>Status</x:v>
      </x:c>
    </x:row>
    <x:row r="4" ht="54" customHeight="1">
      <x:c r="B4" s="401" t="str">
        <x:v>Scope: diaphragm unit-shear strength, aspect-ratio gate, chord-force mechanics screen, and SDPWS three-term deflection. Nominal unit shear capacity, Ga, assembly aspect-ratio limits, and adjustment factors remain source-controlled inputs. Collectors, openings, torsional distribution, semi-rigid modeling, chord/collector connection design, and irregularity checks remain explicit review gates.</x:v>
      </x:c>
      <x:c r="C4" s="401"/>
      <x:c r="D4" s="401"/>
      <x:c r="E4" s="401"/>
      <x:c r="F4" s="401"/>
      <x:c r="G4" s="401"/>
      <x:c r="H4" s="401"/>
      <x:c r="I4" s="401"/>
      <x:c r="J4" s="401"/>
      <x:c r="K4" s="140"/>
      <x:c r="L4" s="140"/>
      <x:c r="M4" s="152" t="str">
        <x:v>DIA-QA-01</x:v>
      </x:c>
      <x:c r="N4" s="152" t="str">
        <x:v>Seismic ASD factor</x:v>
      </x:c>
      <x:c r="O4" s="415" t="n">
        <x:v>2.8</x:v>
      </x:c>
      <x:c r="P4" s="415" t="n">
        <x:f>IF("SEISMIC"="WIND",2,2.8)</x:f>
        <x:v>2.8</x:v>
      </x:c>
      <x:c r="Q4" s="415" t="n">
        <x:f>ABS(O4-P4)</x:f>
        <x:v>0</x:v>
      </x:c>
      <x:c r="R4" s="152" t="str">
        <x:f>IF(Q4&lt;1E-9,"PASS","FAIL")</x:f>
        <x:v>PASS</x:v>
      </x:c>
    </x:row>
    <x:row r="5">
      <x:c r="B5" s="140"/>
      <x:c r="C5" s="140"/>
      <x:c r="D5" s="140"/>
      <x:c r="E5" s="140"/>
      <x:c r="F5" s="140"/>
      <x:c r="G5" s="140"/>
      <x:c r="H5" s="140"/>
      <x:c r="I5" s="140"/>
      <x:c r="J5" s="140"/>
      <x:c r="K5" s="140"/>
      <x:c r="L5" s="140"/>
      <x:c r="M5" s="152" t="str">
        <x:v>DIA-QA-02</x:v>
      </x:c>
      <x:c r="N5" s="152" t="str">
        <x:v>vn=1200 seismic unit capacity</x:v>
      </x:c>
      <x:c r="O5" s="415" t="n">
        <x:v>428.57142857142856</x:v>
      </x:c>
      <x:c r="P5" s="415" t="n">
        <x:f>1200/2.8</x:f>
        <x:v>428.5714285714286</x:v>
      </x:c>
      <x:c r="Q5" s="415" t="n">
        <x:f>ABS(O5-P5)</x:f>
        <x:v>5.684341886080802e-14</x:v>
      </x:c>
      <x:c r="R5" s="152" t="str">
        <x:f>IF(Q5&lt;1E-9,"PASS","FAIL")</x:f>
        <x:v>PASS</x:v>
      </x:c>
    </x:row>
    <x:row r="6">
      <x:c r="B6" s="394" t="str">
        <x:v>DIAPHRAGM / CHORD BASIS</x:v>
      </x:c>
      <x:c r="C6" s="394"/>
      <x:c r="D6" s="394"/>
      <x:c r="E6" s="394"/>
      <x:c r="F6" s="394"/>
      <x:c r="G6" s="140"/>
      <x:c r="H6" s="394" t="str">
        <x:v>MODULE STATUS</x:v>
      </x:c>
      <x:c r="I6" s="394"/>
      <x:c r="J6" s="394"/>
      <x:c r="K6" s="140"/>
      <x:c r="L6" s="140"/>
      <x:c r="M6" s="152" t="str">
        <x:v>DIA-QA-03</x:v>
      </x:c>
      <x:c r="N6" s="152" t="str">
        <x:v>Simple UDL total Δ</x:v>
      </x:c>
      <x:c r="O6" s="415" t="n">
        <x:v>0.10021428571428571</x:v>
      </x:c>
      <x:c r="P6" s="415" t="n">
        <x:f>5*300*24^3/(8*1600000*10.5*20)+0.25*300*24/(1000*20)+0.1/(2*20)</x:f>
        <x:v>0.10021428571428571</x:v>
      </x:c>
      <x:c r="Q6" s="415" t="n">
        <x:f>ABS(O6-P6)</x:f>
        <x:v>0</x:v>
      </x:c>
      <x:c r="R6" s="152" t="str">
        <x:f>IF(Q6&lt;1E-9,"PASS","FAIL")</x:f>
        <x:v>PASS</x:v>
      </x:c>
    </x:row>
    <x:row r="7">
      <x:c r="B7" s="407" t="str">
        <x:v>Parameter</x:v>
      </x:c>
      <x:c r="C7" s="407" t="str">
        <x:v>Value</x:v>
      </x:c>
      <x:c r="D7" s="407" t="str">
        <x:v>Unit</x:v>
      </x:c>
      <x:c r="E7" s="407" t="str">
        <x:v>Source / Basis</x:v>
      </x:c>
      <x:c r="F7" s="407" t="str">
        <x:v>Status</x:v>
      </x:c>
      <x:c r="G7" s="140"/>
      <x:c r="H7" s="407" t="str">
        <x:v>Input Completeness</x:v>
      </x:c>
      <x:c r="I7" s="407" t="str">
        <x:f>IF(COUNTIF(F8:F23,"MISSING")=0,"READY","PENDING")</x:f>
        <x:v>PENDING</x:v>
      </x:c>
      <x:c r="J7" s="140"/>
      <x:c r="K7" s="140"/>
      <x:c r="L7" s="140"/>
      <x:c r="M7" s="152" t="str">
        <x:v>DIA-QA-04</x:v>
      </x:c>
      <x:c r="N7" s="152" t="str">
        <x:v>Cantilever UDL total Δ</x:v>
      </x:c>
      <x:c r="O7" s="415" t="n">
        <x:v>0.22202857142857144</x:v>
      </x:c>
      <x:c r="P7" s="415" t="n">
        <x:f>3*300*24^3/(1600000*10.5*20)+0.5*300*24/(1000*20)+0.1/20</x:f>
        <x:v>0.22202857142857144</x:v>
      </x:c>
      <x:c r="Q7" s="415" t="n">
        <x:f>ABS(O7-P7)</x:f>
        <x:v>0</x:v>
      </x:c>
      <x:c r="R7" s="152" t="str">
        <x:f>IF(Q7&lt;1E-9,"PASS","FAIL")</x:f>
        <x:v>PASS</x:v>
      </x:c>
    </x:row>
    <x:row r="8">
      <x:c r="B8" s="152" t="str">
        <x:v>Diaphragm Mark</x:v>
      </x:c>
      <x:c r="C8" s="152" t="str">
        <x:f>IF('01_INPUTS'!C193="","",'01_INPUTS'!C193)</x:f>
      </x:c>
      <x:c r="D8" s="152" t="str"/>
      <x:c r="E8" s="152" t="str">
        <x:v>01_INPUTS</x:v>
      </x:c>
      <x:c r="F8" s="152" t="str">
        <x:f>IF(C8="","MISSING","OK")</x:f>
        <x:v>MISSING</x:v>
      </x:c>
      <x:c r="G8" s="140"/>
      <x:c r="H8" s="407" t="str">
        <x:v>Aspect Ratio</x:v>
      </x:c>
      <x:c r="I8" s="407" t="str">
        <x:f>IF(C31="","PENDING",IF(C32="PASS","PASS","FAIL"))</x:f>
        <x:v>PENDING</x:v>
      </x:c>
      <x:c r="J8" s="140"/>
      <x:c r="K8" s="140"/>
      <x:c r="L8" s="140"/>
      <x:c r="M8" s="152" t="str">
        <x:v>DIA-QA-05</x:v>
      </x:c>
      <x:c r="N8" s="152" t="str">
        <x:v>Cantilever tip total Δ</x:v>
      </x:c>
      <x:c r="O8" s="415" t="n">
        <x:v>0.4637428571428571</x:v>
      </x:c>
      <x:c r="P8" s="415" t="n">
        <x:f>8*300*24^3/(1600000*10.5*20)+300*24/(1000*20)+0.1/20</x:f>
        <x:v>0.4637428571428571</x:v>
      </x:c>
      <x:c r="Q8" s="415" t="n">
        <x:f>ABS(O8-P8)</x:f>
        <x:v>0</x:v>
      </x:c>
      <x:c r="R8" s="152" t="str">
        <x:f>IF(Q8&lt;1E-9,"PASS","FAIL")</x:f>
        <x:v>PASS</x:v>
      </x:c>
    </x:row>
    <x:row r="9">
      <x:c r="B9" s="152" t="str">
        <x:v>Design Force Type</x:v>
      </x:c>
      <x:c r="C9" s="152" t="str">
        <x:f>IF('01_INPUTS'!C194="","",'01_INPUTS'!C194)</x:f>
      </x:c>
      <x:c r="D9" s="152" t="str"/>
      <x:c r="E9" s="152" t="str">
        <x:v>01_INPUTS</x:v>
      </x:c>
      <x:c r="F9" s="152" t="str">
        <x:f>IF(C9="","MISSING","OK")</x:f>
        <x:v>MISSING</x:v>
      </x:c>
      <x:c r="G9" s="140"/>
      <x:c r="H9" s="407" t="str">
        <x:v>Strength</x:v>
      </x:c>
      <x:c r="I9" s="407" t="str">
        <x:f>IF(C36="","PENDING",IF(C36&lt;=1,"PASS","FAIL"))</x:f>
        <x:v>PENDING</x:v>
      </x:c>
      <x:c r="J9" s="140"/>
      <x:c r="K9" s="140"/>
      <x:c r="L9" s="140"/>
      <x:c r="M9" s="152" t="str">
        <x:v>DIA-QA-06</x:v>
      </x:c>
      <x:c r="N9" s="152" t="str">
        <x:v>Simple UDL chord force</x:v>
      </x:c>
      <x:c r="O9" s="415" t="n">
        <x:v>1800</x:v>
      </x:c>
      <x:c r="P9" s="415" t="n">
        <x:f>300*24/4</x:f>
        <x:v>1800</x:v>
      </x:c>
      <x:c r="Q9" s="415" t="n">
        <x:f>ABS(O9-P9)</x:f>
        <x:v>0</x:v>
      </x:c>
      <x:c r="R9" s="152" t="str">
        <x:f>IF(Q9&lt;1E-9,"PASS","FAIL")</x:f>
        <x:v>PASS</x:v>
      </x:c>
    </x:row>
    <x:row r="10">
      <x:c r="B10" s="152" t="str">
        <x:v>Configuration</x:v>
      </x:c>
      <x:c r="C10" s="152" t="str">
        <x:f>IF('01_INPUTS'!C195="","",'01_INPUTS'!C195)</x:f>
      </x:c>
      <x:c r="D10" s="152" t="str"/>
      <x:c r="E10" s="152" t="str">
        <x:v>01_INPUTS</x:v>
      </x:c>
      <x:c r="F10" s="152" t="str">
        <x:f>IF(C10="","MISSING","OK")</x:f>
        <x:v>MISSING</x:v>
      </x:c>
      <x:c r="G10" s="140"/>
      <x:c r="H10" s="407" t="str">
        <x:v>Deflection</x:v>
      </x:c>
      <x:c r="I10" s="407" t="str">
        <x:f>IF(C47="","PENDING",IF(C47&lt;=1,"PASS","FAIL"))</x:f>
        <x:v>PENDING</x:v>
      </x:c>
      <x:c r="J10" s="140"/>
      <x:c r="K10" s="140"/>
      <x:c r="L10" s="140"/>
      <x:c r="M10" s="152" t="str">
        <x:v>Benchmark Overall</x:v>
      </x:c>
      <x:c r="N10" s="152" t="str"/>
      <x:c r="O10" s="152" t="str"/>
      <x:c r="P10" s="152" t="str"/>
      <x:c r="Q10" s="152" t="str"/>
      <x:c r="R10" s="152" t="str">
        <x:f>IF(COUNTIF(R4:R9,"FAIL")=0,"PASS","FAIL")</x:f>
        <x:v>PASS</x:v>
      </x:c>
    </x:row>
    <x:row r="11">
      <x:c r="B11" s="152" t="str">
        <x:v>Induced Unit Shear v</x:v>
      </x:c>
      <x:c r="C11" s="152" t="str">
        <x:f>IF('01_INPUTS'!C196="","",'01_INPUTS'!C196)</x:f>
      </x:c>
      <x:c r="D11" s="152" t="str">
        <x:v>plf</x:v>
      </x:c>
      <x:c r="E11" s="152" t="str">
        <x:v>Lateral analysis</x:v>
      </x:c>
      <x:c r="F11" s="152" t="str">
        <x:f>IF(C11="","MISSING","OK")</x:f>
        <x:v>MISSING</x:v>
      </x:c>
      <x:c r="G11" s="140"/>
      <x:c r="H11" s="407" t="str">
        <x:v>Special Review Gates</x:v>
      </x:c>
      <x:c r="I11" s="407" t="str">
        <x:v>REVIEW</x:v>
      </x:c>
      <x:c r="J11" s="140"/>
      <x:c r="K11" s="140"/>
      <x:c r="L11" s="140"/>
      <x:c r="M11" s="140"/>
      <x:c r="N11" s="140"/>
      <x:c r="O11" s="140"/>
      <x:c r="P11" s="140"/>
      <x:c r="Q11" s="140"/>
      <x:c r="R11" s="140"/>
    </x:row>
    <x:row r="12">
      <x:c r="B12" s="152" t="str">
        <x:v>Length L</x:v>
      </x:c>
      <x:c r="C12" s="152" t="str">
        <x:f>IF('01_INPUTS'!C197="","",'01_INPUTS'!C197)</x:f>
      </x:c>
      <x:c r="D12" s="152" t="str">
        <x:v>ft</x:v>
      </x:c>
      <x:c r="E12" s="152" t="str">
        <x:v>01_INPUTS</x:v>
      </x:c>
      <x:c r="F12" s="152" t="str">
        <x:f>IF(C12="","MISSING","OK")</x:f>
        <x:v>MISSING</x:v>
      </x:c>
      <x:c r="G12" s="140"/>
      <x:c r="H12" s="407" t="str">
        <x:v>Math Cross-Checks</x:v>
      </x:c>
      <x:c r="I12" s="407" t="str">
        <x:f>IF(R10="PASS","PASS","CHECK")</x:f>
        <x:v>PASS</x:v>
      </x:c>
      <x:c r="J12" s="140"/>
      <x:c r="K12" s="140"/>
      <x:c r="L12" s="140"/>
      <x:c r="M12" s="401" t="str">
        <x:v>QA note: benchmark equations are separately fixed arithmetic cases. Project results still require correct assembly selection, source-controlled capacities/stiffness, load-path modeling, and licensed engineering review.</x:v>
      </x:c>
      <x:c r="N12" s="401"/>
      <x:c r="O12" s="401"/>
      <x:c r="P12" s="401"/>
      <x:c r="Q12" s="401"/>
      <x:c r="R12" s="401"/>
    </x:row>
    <x:row r="13">
      <x:c r="B13" s="152" t="str">
        <x:v>Width W</x:v>
      </x:c>
      <x:c r="C13" s="152" t="str">
        <x:f>IF('01_INPUTS'!C198="","",'01_INPUTS'!C198)</x:f>
      </x:c>
      <x:c r="D13" s="152" t="str">
        <x:v>ft</x:v>
      </x:c>
      <x:c r="E13" s="152" t="str">
        <x:v>01_INPUTS</x:v>
      </x:c>
      <x:c r="F13" s="152" t="str">
        <x:f>IF(C13="","MISSING","OK")</x:f>
        <x:v>MISSING</x:v>
      </x:c>
      <x:c r="G13" s="140"/>
      <x:c r="H13" s="407" t="str">
        <x:v>Overall</x:v>
      </x:c>
      <x:c r="I13" s="407" t="str">
        <x:f>IF(OR(I7="PENDING",I8="PENDING",I9="PENDING",I10="PENDING"),"PENDING",IF(OR(I8="FAIL",I9="FAIL",I10="FAIL"),"FAIL","REVIEW"))</x:f>
        <x:v>PENDING</x:v>
      </x:c>
      <x:c r="J13" s="140"/>
      <x:c r="K13" s="140"/>
      <x:c r="L13" s="140"/>
      <x:c r="M13" s="401"/>
      <x:c r="N13" s="401"/>
      <x:c r="O13" s="401"/>
      <x:c r="P13" s="401"/>
      <x:c r="Q13" s="401"/>
      <x:c r="R13" s="401"/>
    </x:row>
    <x:row r="14">
      <x:c r="B14" s="152" t="str">
        <x:v>Nominal Unit Shear Capacity vn</x:v>
      </x:c>
      <x:c r="C14" s="152" t="str">
        <x:f>IF('01_INPUTS'!C199="","",'01_INPUTS'!C199)</x:f>
      </x:c>
      <x:c r="D14" s="152" t="str">
        <x:v>plf</x:v>
      </x:c>
      <x:c r="E14" s="152" t="str">
        <x:v>SDPWS / ESR / manufacturer</x:v>
      </x:c>
      <x:c r="F14" s="152" t="str">
        <x:f>IF(C14="","MISSING","OK")</x:f>
        <x:v>MISSING</x:v>
      </x:c>
      <x:c r="G14" s="140"/>
      <x:c r="H14" s="140"/>
      <x:c r="I14" s="140"/>
      <x:c r="J14" s="140"/>
      <x:c r="K14" s="140"/>
      <x:c r="L14" s="140"/>
      <x:c r="M14" s="401"/>
      <x:c r="N14" s="401"/>
      <x:c r="O14" s="401"/>
      <x:c r="P14" s="401"/>
      <x:c r="Q14" s="401"/>
      <x:c r="R14" s="401"/>
    </x:row>
    <x:row r="15">
      <x:c r="B15" s="152" t="str">
        <x:v>Apparent Shear Stiffness Ga</x:v>
      </x:c>
      <x:c r="C15" s="152" t="str">
        <x:f>IF('01_INPUTS'!C200="","",'01_INPUTS'!C200)</x:f>
      </x:c>
      <x:c r="D15" s="152" t="str">
        <x:v>kips/in</x:v>
      </x:c>
      <x:c r="E15" s="152" t="str">
        <x:v>SDPWS / approved source</x:v>
      </x:c>
      <x:c r="F15" s="152" t="str">
        <x:f>IF(C15="","MISSING","OK")</x:f>
        <x:v>MISSING</x:v>
      </x:c>
      <x:c r="G15" s="140"/>
      <x:c r="H15" s="140"/>
      <x:c r="I15" s="140"/>
      <x:c r="J15" s="140"/>
      <x:c r="K15" s="140"/>
      <x:c r="L15" s="140"/>
      <x:c r="M15" s="140"/>
      <x:c r="N15" s="140"/>
      <x:c r="O15" s="140"/>
      <x:c r="P15" s="140"/>
      <x:c r="Q15" s="140"/>
      <x:c r="R15" s="140"/>
    </x:row>
    <x:row r="16">
      <x:c r="B16" s="152" t="str">
        <x:v>Chord Modulus E</x:v>
      </x:c>
      <x:c r="C16" s="152" t="str">
        <x:f>IF('01_INPUTS'!C201="","",'01_INPUTS'!C201)</x:f>
      </x:c>
      <x:c r="D16" s="152" t="str">
        <x:v>psi</x:v>
      </x:c>
      <x:c r="E16" s="152" t="str">
        <x:v>NDS / manufacturer</x:v>
      </x:c>
      <x:c r="F16" s="152" t="str">
        <x:f>IF(C16="","MISSING","OK")</x:f>
        <x:v>MISSING</x:v>
      </x:c>
      <x:c r="G16" s="140"/>
      <x:c r="H16" s="140"/>
      <x:c r="I16" s="140"/>
      <x:c r="J16" s="140"/>
      <x:c r="K16" s="140"/>
      <x:c r="L16" s="140"/>
      <x:c r="M16" s="140"/>
      <x:c r="N16" s="140"/>
      <x:c r="O16" s="140"/>
      <x:c r="P16" s="140"/>
      <x:c r="Q16" s="140"/>
      <x:c r="R16" s="140"/>
    </x:row>
    <x:row r="17">
      <x:c r="B17" s="152" t="str">
        <x:v>Chord Area A</x:v>
      </x:c>
      <x:c r="C17" s="152" t="str">
        <x:f>IF('01_INPUTS'!C202="","",'01_INPUTS'!C202)</x:f>
      </x:c>
      <x:c r="D17" s="152" t="str">
        <x:v>in²</x:v>
      </x:c>
      <x:c r="E17" s="152" t="str">
        <x:v>Chord geometry</x:v>
      </x:c>
      <x:c r="F17" s="152" t="str">
        <x:f>IF(C17="","MISSING","OK")</x:f>
        <x:v>MISSING</x:v>
      </x:c>
      <x:c r="G17" s="140"/>
      <x:c r="H17" s="140"/>
      <x:c r="I17" s="140"/>
      <x:c r="J17" s="140"/>
      <x:c r="K17" s="140"/>
      <x:c r="L17" s="140"/>
      <x:c r="M17" s="140"/>
      <x:c r="N17" s="140"/>
      <x:c r="O17" s="140"/>
      <x:c r="P17" s="140"/>
      <x:c r="Q17" s="140"/>
      <x:c r="R17" s="140"/>
    </x:row>
    <x:row r="18">
      <x:c r="B18" s="152" t="str">
        <x:v>Chord Slip Sum Σ(xΔc)</x:v>
      </x:c>
      <x:c r="C18" s="152" t="str">
        <x:f>IF('01_INPUTS'!C203="","",'01_INPUTS'!C203)</x:f>
      </x:c>
      <x:c r="D18" s="152" t="str">
        <x:v>ft-in</x:v>
      </x:c>
      <x:c r="E18" s="152" t="str">
        <x:v>Connection analysis</x:v>
      </x:c>
      <x:c r="F18" s="152" t="str">
        <x:f>IF(C18="","MISSING","OK")</x:f>
        <x:v>MISSING</x:v>
      </x:c>
      <x:c r="G18" s="140"/>
      <x:c r="H18" s="140"/>
      <x:c r="I18" s="140"/>
      <x:c r="J18" s="140"/>
      <x:c r="K18" s="140"/>
      <x:c r="L18" s="140"/>
      <x:c r="M18" s="140"/>
      <x:c r="N18" s="140"/>
      <x:c r="O18" s="140"/>
      <x:c r="P18" s="140"/>
      <x:c r="Q18" s="140"/>
      <x:c r="R18" s="140"/>
    </x:row>
    <x:row r="19">
      <x:c r="B19" s="152" t="str">
        <x:v>Other Capacity Factor Cother</x:v>
      </x:c>
      <x:c r="C19" s="152" t="str">
        <x:f>IF('01_INPUTS'!C204="","",'01_INPUTS'!C204)</x:f>
      </x:c>
      <x:c r="D19" s="152" t="str"/>
      <x:c r="E19" s="152" t="str">
        <x:v>Controlled sourced factors</x:v>
      </x:c>
      <x:c r="F19" s="152" t="str">
        <x:f>IF(C19="","MISSING","OK")</x:f>
        <x:v>MISSING</x:v>
      </x:c>
      <x:c r="G19" s="140"/>
      <x:c r="H19" s="140"/>
      <x:c r="I19" s="140"/>
      <x:c r="J19" s="140"/>
      <x:c r="K19" s="140"/>
      <x:c r="L19" s="140"/>
      <x:c r="M19" s="140"/>
      <x:c r="N19" s="140"/>
      <x:c r="O19" s="140"/>
      <x:c r="P19" s="140"/>
      <x:c r="Q19" s="140"/>
      <x:c r="R19" s="140"/>
    </x:row>
    <x:row r="20">
      <x:c r="B20" s="152" t="str">
        <x:v>Max Permitted Aspect Ratio</x:v>
      </x:c>
      <x:c r="C20" s="152" t="str">
        <x:f>IF('01_INPUTS'!C205="","",'01_INPUTS'!C205)</x:f>
      </x:c>
      <x:c r="D20" s="152" t="str"/>
      <x:c r="E20" s="152" t="str">
        <x:v>SDPWS assembly-specific limit</x:v>
      </x:c>
      <x:c r="F20" s="152" t="str">
        <x:f>IF(C20="","MISSING","OK")</x:f>
        <x:v>MISSING</x:v>
      </x:c>
      <x:c r="G20" s="140"/>
      <x:c r="H20" s="140"/>
      <x:c r="I20" s="140"/>
      <x:c r="J20" s="140"/>
      <x:c r="K20" s="140"/>
      <x:c r="L20" s="140"/>
      <x:c r="M20" s="140"/>
      <x:c r="N20" s="140"/>
      <x:c r="O20" s="140"/>
      <x:c r="P20" s="140"/>
      <x:c r="Q20" s="140"/>
      <x:c r="R20" s="140"/>
    </x:row>
    <x:row r="21">
      <x:c r="B21" s="152" t="str">
        <x:v>Permissible Deflection</x:v>
      </x:c>
      <x:c r="C21" s="152" t="str">
        <x:f>IF('01_INPUTS'!C206="","",'01_INPUTS'!C206)</x:f>
      </x:c>
      <x:c r="D21" s="152" t="str">
        <x:v>in</x:v>
      </x:c>
      <x:c r="E21" s="152" t="str">
        <x:v>Project/code criterion</x:v>
      </x:c>
      <x:c r="F21" s="152" t="str">
        <x:f>IF(C21="","MISSING","OK")</x:f>
        <x:v>MISSING</x:v>
      </x:c>
      <x:c r="G21" s="140"/>
      <x:c r="H21" s="140"/>
      <x:c r="I21" s="140"/>
      <x:c r="J21" s="140"/>
      <x:c r="K21" s="140"/>
      <x:c r="L21" s="140"/>
      <x:c r="M21" s="140"/>
      <x:c r="N21" s="140"/>
      <x:c r="O21" s="140"/>
      <x:c r="P21" s="140"/>
      <x:c r="Q21" s="140"/>
      <x:c r="R21" s="140"/>
    </x:row>
    <x:row r="22">
      <x:c r="B22" s="152" t="str">
        <x:v>Capacity Source Record</x:v>
      </x:c>
      <x:c r="C22" s="152" t="str">
        <x:f>IF('01_INPUTS'!C207="","",'01_INPUTS'!C207)</x:f>
      </x:c>
      <x:c r="D22" s="152" t="str"/>
      <x:c r="E22" s="152" t="str">
        <x:v>Source register</x:v>
      </x:c>
      <x:c r="F22" s="152" t="str">
        <x:f>IF(C22="","MISSING","OK")</x:f>
        <x:v>MISSING</x:v>
      </x:c>
      <x:c r="G22" s="140"/>
      <x:c r="H22" s="140"/>
      <x:c r="I22" s="140"/>
      <x:c r="J22" s="140"/>
      <x:c r="K22" s="140"/>
      <x:c r="L22" s="140"/>
      <x:c r="M22" s="140"/>
      <x:c r="N22" s="140"/>
      <x:c r="O22" s="140"/>
      <x:c r="P22" s="140"/>
      <x:c r="Q22" s="140"/>
      <x:c r="R22" s="140"/>
    </x:row>
    <x:row r="23">
      <x:c r="B23" s="152" t="str">
        <x:v>Stiffness Source Record</x:v>
      </x:c>
      <x:c r="C23" s="152" t="str">
        <x:f>IF('01_INPUTS'!C208="","",'01_INPUTS'!C208)</x:f>
      </x:c>
      <x:c r="D23" s="152" t="str"/>
      <x:c r="E23" s="152" t="str">
        <x:v>Source register</x:v>
      </x:c>
      <x:c r="F23" s="152" t="str">
        <x:f>IF(C23="","MISSING","OK")</x:f>
        <x:v>MISSING</x:v>
      </x:c>
      <x:c r="G23" s="140"/>
      <x:c r="H23" s="140"/>
      <x:c r="I23" s="140"/>
      <x:c r="J23" s="140"/>
      <x:c r="K23" s="140"/>
      <x:c r="L23" s="140"/>
      <x:c r="M23" s="140"/>
      <x:c r="N23" s="140"/>
      <x:c r="O23" s="140"/>
      <x:c r="P23" s="140"/>
      <x:c r="Q23" s="140"/>
      <x:c r="R23" s="140"/>
    </x:row>
    <x:row r="24">
      <x:c r="B24" s="152" t="str">
        <x:v>Review Notes</x:v>
      </x:c>
      <x:c r="C24" s="152" t="str">
        <x:f>IF('01_INPUTS'!C209="","",'01_INPUTS'!C209)</x:f>
      </x:c>
      <x:c r="D24" s="152" t="str"/>
      <x:c r="E24" s="152" t="str">
        <x:v>Engineer review</x:v>
      </x:c>
      <x:c r="F24" s="152" t="str">
        <x:f>IF(C24="","MISSING","OK")</x:f>
        <x:v>MISSING</x:v>
      </x:c>
      <x:c r="G24" s="140"/>
      <x:c r="H24" s="140"/>
      <x:c r="I24" s="140"/>
      <x:c r="J24" s="140"/>
      <x:c r="K24" s="140"/>
      <x:c r="L24" s="140"/>
      <x:c r="M24" s="140"/>
      <x:c r="N24" s="140"/>
      <x:c r="O24" s="140"/>
      <x:c r="P24" s="140"/>
      <x:c r="Q24" s="140"/>
      <x:c r="R24" s="140"/>
    </x:row>
    <x:row r="25">
      <x:c r="B25" s="140"/>
      <x:c r="C25" s="140"/>
      <x:c r="D25" s="140"/>
      <x:c r="E25" s="140"/>
      <x:c r="F25" s="140"/>
      <x:c r="G25" s="140"/>
      <x:c r="H25" s="140"/>
      <x:c r="I25" s="140"/>
      <x:c r="J25" s="140"/>
      <x:c r="K25" s="140"/>
      <x:c r="L25" s="140"/>
      <x:c r="M25" s="140"/>
      <x:c r="N25" s="140"/>
      <x:c r="O25" s="140"/>
      <x:c r="P25" s="140"/>
      <x:c r="Q25" s="140"/>
      <x:c r="R25" s="140"/>
    </x:row>
    <x:row r="26">
      <x:c r="B26" s="140"/>
      <x:c r="C26" s="140"/>
      <x:c r="D26" s="140"/>
      <x:c r="E26" s="140"/>
      <x:c r="F26" s="140"/>
      <x:c r="G26" s="140"/>
      <x:c r="H26" s="140"/>
      <x:c r="I26" s="140"/>
      <x:c r="J26" s="140"/>
      <x:c r="K26" s="140"/>
      <x:c r="L26" s="140"/>
      <x:c r="M26" s="140"/>
      <x:c r="N26" s="140"/>
      <x:c r="O26" s="140"/>
      <x:c r="P26" s="140"/>
      <x:c r="Q26" s="140"/>
      <x:c r="R26" s="140"/>
    </x:row>
    <x:row r="27">
      <x:c r="B27" s="140"/>
      <x:c r="C27" s="140"/>
      <x:c r="D27" s="140"/>
      <x:c r="E27" s="140"/>
      <x:c r="F27" s="140"/>
      <x:c r="G27" s="140"/>
      <x:c r="H27" s="140"/>
      <x:c r="I27" s="140"/>
      <x:c r="J27" s="140"/>
      <x:c r="K27" s="140"/>
      <x:c r="L27" s="140"/>
      <x:c r="M27" s="140"/>
      <x:c r="N27" s="140"/>
      <x:c r="O27" s="140"/>
      <x:c r="P27" s="140"/>
      <x:c r="Q27" s="140"/>
      <x:c r="R27" s="140"/>
    </x:row>
    <x:row r="28">
      <x:c r="B28" s="394" t="str">
        <x:v>STRENGTH / GEOMETRY CHECK</x:v>
      </x:c>
      <x:c r="C28" s="394"/>
      <x:c r="D28" s="394"/>
      <x:c r="E28" s="394"/>
      <x:c r="F28" s="394"/>
      <x:c r="G28" s="140"/>
      <x:c r="H28" s="140"/>
      <x:c r="I28" s="140"/>
      <x:c r="J28" s="140"/>
      <x:c r="K28" s="140"/>
      <x:c r="L28" s="140"/>
      <x:c r="M28" s="140"/>
      <x:c r="N28" s="140"/>
      <x:c r="O28" s="140"/>
      <x:c r="P28" s="140"/>
      <x:c r="Q28" s="140"/>
      <x:c r="R28" s="140"/>
    </x:row>
    <x:row r="29">
      <x:c r="B29" s="407" t="str">
        <x:v>Check</x:v>
      </x:c>
      <x:c r="C29" s="407" t="str">
        <x:v>Result</x:v>
      </x:c>
      <x:c r="D29" s="407" t="str">
        <x:v>Unit</x:v>
      </x:c>
      <x:c r="E29" s="407" t="str">
        <x:v>Basis</x:v>
      </x:c>
      <x:c r="F29" s="140"/>
      <x:c r="G29" s="140"/>
      <x:c r="H29" s="140"/>
      <x:c r="I29" s="140"/>
      <x:c r="J29" s="140"/>
      <x:c r="K29" s="140"/>
      <x:c r="L29" s="140"/>
      <x:c r="M29" s="140"/>
      <x:c r="N29" s="140"/>
      <x:c r="O29" s="140"/>
      <x:c r="P29" s="140"/>
      <x:c r="Q29" s="140"/>
      <x:c r="R29" s="140"/>
    </x:row>
    <x:row r="30">
      <x:c r="B30" s="152" t="str">
        <x:v>ASD Reduction Factor</x:v>
      </x:c>
      <x:c r="C30" s="415" t="str">
        <x:f>IF(C9="WIND",2,IF(C9="SEISMIC",2.8,""))</x:f>
      </x:c>
      <x:c r="D30" s="152" t="str"/>
      <x:c r="E30" s="152" t="str">
        <x:v>SDPWS 4.1.4</x:v>
      </x:c>
      <x:c r="F30" s="140"/>
      <x:c r="G30" s="140"/>
      <x:c r="H30" s="140"/>
      <x:c r="I30" s="140"/>
      <x:c r="J30" s="140"/>
      <x:c r="K30" s="140"/>
      <x:c r="L30" s="140"/>
      <x:c r="M30" s="140"/>
      <x:c r="N30" s="140"/>
      <x:c r="O30" s="140"/>
      <x:c r="P30" s="140"/>
      <x:c r="Q30" s="140"/>
      <x:c r="R30" s="140"/>
    </x:row>
    <x:row r="31">
      <x:c r="B31" s="152" t="str">
        <x:v>Diaphragm Aspect Ratio L/W</x:v>
      </x:c>
      <x:c r="C31" s="415" t="str">
        <x:f>IFERROR(C12/C13,"")</x:f>
      </x:c>
      <x:c r="D31" s="152" t="str"/>
      <x:c r="E31" s="152" t="str">
        <x:v>Geometry</x:v>
      </x:c>
      <x:c r="F31" s="140"/>
      <x:c r="G31" s="140"/>
      <x:c r="H31" s="140"/>
      <x:c r="I31" s="140"/>
      <x:c r="J31" s="140"/>
      <x:c r="K31" s="140"/>
      <x:c r="L31" s="140"/>
      <x:c r="M31" s="140"/>
      <x:c r="N31" s="140"/>
      <x:c r="O31" s="140"/>
      <x:c r="P31" s="140"/>
      <x:c r="Q31" s="140"/>
      <x:c r="R31" s="140"/>
    </x:row>
    <x:row r="32">
      <x:c r="B32" s="152" t="str">
        <x:v>Aspect Ratio Status</x:v>
      </x:c>
      <x:c r="C32" s="415" t="str">
        <x:f>IF(OR(C31="",C20=""),"PENDING",IF(C31&lt;=C20,"PASS","FAIL"))</x:f>
        <x:v>PENDING</x:v>
      </x:c>
      <x:c r="D32" s="152" t="str"/>
      <x:c r="E32" s="152" t="str">
        <x:v>Compare sourced assembly limit</x:v>
      </x:c>
      <x:c r="F32" s="140"/>
      <x:c r="G32" s="140"/>
      <x:c r="H32" s="140"/>
      <x:c r="I32" s="140"/>
      <x:c r="J32" s="140"/>
      <x:c r="K32" s="140"/>
      <x:c r="L32" s="140"/>
      <x:c r="M32" s="140"/>
      <x:c r="N32" s="140"/>
      <x:c r="O32" s="140"/>
      <x:c r="P32" s="140"/>
      <x:c r="Q32" s="140"/>
      <x:c r="R32" s="140"/>
    </x:row>
    <x:row r="33">
      <x:c r="B33" s="152" t="str">
        <x:v>Allowable Unit Shear</x:v>
      </x:c>
      <x:c r="C33" s="415" t="str">
        <x:f>IFERROR(C14/C30*C19,"")</x:f>
      </x:c>
      <x:c r="D33" s="152" t="str">
        <x:v>plf</x:v>
      </x:c>
      <x:c r="E33" s="152" t="str">
        <x:v>vn / ASD factor × Cother</x:v>
      </x:c>
      <x:c r="F33" s="140"/>
      <x:c r="G33" s="140"/>
      <x:c r="H33" s="140"/>
      <x:c r="I33" s="140"/>
      <x:c r="J33" s="140"/>
      <x:c r="K33" s="140"/>
      <x:c r="L33" s="140"/>
      <x:c r="M33" s="140"/>
      <x:c r="N33" s="140"/>
      <x:c r="O33" s="140"/>
      <x:c r="P33" s="140"/>
      <x:c r="Q33" s="140"/>
      <x:c r="R33" s="140"/>
    </x:row>
    <x:row r="34">
      <x:c r="B34" s="152" t="str">
        <x:v>Unit-Shear Utilization D/C</x:v>
      </x:c>
      <x:c r="C34" s="415" t="str">
        <x:f>IFERROR(C11/C33,"")</x:f>
      </x:c>
      <x:c r="D34" s="152" t="str"/>
      <x:c r="E34" s="152" t="str">
        <x:v>v / vallow</x:v>
      </x:c>
      <x:c r="F34" s="140"/>
      <x:c r="G34" s="140"/>
      <x:c r="H34" s="140"/>
      <x:c r="I34" s="140"/>
      <x:c r="J34" s="140"/>
      <x:c r="K34" s="140"/>
      <x:c r="L34" s="140"/>
      <x:c r="M34" s="140"/>
      <x:c r="N34" s="140"/>
      <x:c r="O34" s="140"/>
      <x:c r="P34" s="140"/>
      <x:c r="Q34" s="140"/>
      <x:c r="R34" s="140"/>
    </x:row>
    <x:row r="35">
      <x:c r="B35" s="152" t="str">
        <x:v>Equivalent Capacity Margin</x:v>
      </x:c>
      <x:c r="C35" s="415" t="n">
        <x:f>IFERROR(C33-C11,"")</x:f>
        <x:v>0</x:v>
      </x:c>
      <x:c r="D35" s="152" t="str">
        <x:v>plf</x:v>
      </x:c>
      <x:c r="E35" s="152" t="str">
        <x:v>vallow − v</x:v>
      </x:c>
      <x:c r="F35" s="140"/>
      <x:c r="G35" s="140"/>
      <x:c r="H35" s="140"/>
      <x:c r="I35" s="140"/>
      <x:c r="J35" s="140"/>
      <x:c r="K35" s="140"/>
      <x:c r="L35" s="140"/>
      <x:c r="M35" s="140"/>
      <x:c r="N35" s="140"/>
      <x:c r="O35" s="140"/>
      <x:c r="P35" s="140"/>
      <x:c r="Q35" s="140"/>
      <x:c r="R35" s="140"/>
    </x:row>
    <x:row r="36">
      <x:c r="B36" s="152" t="str">
        <x:v>Strength Utilization</x:v>
      </x:c>
      <x:c r="C36" s="415" t="str">
        <x:f>IFERROR(C11/C33,"")</x:f>
      </x:c>
      <x:c r="D36" s="152" t="str"/>
      <x:c r="E36" s="152" t="str">
        <x:v>Demand/capacity</x:v>
      </x:c>
      <x:c r="F36" s="140"/>
      <x:c r="G36" s="140"/>
      <x:c r="H36" s="140"/>
      <x:c r="I36" s="140"/>
      <x:c r="J36" s="140"/>
      <x:c r="K36" s="140"/>
      <x:c r="L36" s="140"/>
      <x:c r="M36" s="140"/>
      <x:c r="N36" s="140"/>
      <x:c r="O36" s="140"/>
      <x:c r="P36" s="140"/>
      <x:c r="Q36" s="140"/>
      <x:c r="R36" s="140"/>
    </x:row>
    <x:row r="37">
      <x:c r="B37" s="152" t="str">
        <x:v>Chord Force — mechanics screen</x:v>
      </x:c>
      <x:c r="C37" s="415" t="str">
        <x:f>IF(C10="SIMPLY SUPPORTED UDL",C11*C12/4,IF(C10="CANTILEVER UDL",C11*C12/2,IF(C10="CANTILEVER TIP LOAD",C11*C12,"")))</x:f>
      </x:c>
      <x:c r="D37" s="152" t="str">
        <x:v>lb</x:v>
      </x:c>
      <x:c r="E37" s="152" t="str">
        <x:v>Beam analogy; connection/member design separate</x:v>
      </x:c>
      <x:c r="F37" s="140"/>
      <x:c r="G37" s="140"/>
      <x:c r="H37" s="140"/>
      <x:c r="I37" s="140"/>
      <x:c r="J37" s="140"/>
      <x:c r="K37" s="140"/>
      <x:c r="L37" s="140"/>
      <x:c r="M37" s="140"/>
      <x:c r="N37" s="140"/>
      <x:c r="O37" s="140"/>
      <x:c r="P37" s="140"/>
      <x:c r="Q37" s="140"/>
      <x:c r="R37" s="140"/>
    </x:row>
    <x:row r="38">
      <x:c r="B38" s="140"/>
      <x:c r="C38" s="239"/>
      <x:c r="D38" s="140"/>
      <x:c r="E38" s="140"/>
      <x:c r="F38" s="140"/>
      <x:c r="G38" s="140"/>
      <x:c r="H38" s="140"/>
      <x:c r="I38" s="140"/>
      <x:c r="J38" s="140"/>
      <x:c r="K38" s="140"/>
      <x:c r="L38" s="140"/>
      <x:c r="M38" s="140"/>
      <x:c r="N38" s="140"/>
      <x:c r="O38" s="140"/>
      <x:c r="P38" s="140"/>
      <x:c r="Q38" s="140"/>
      <x:c r="R38" s="140"/>
    </x:row>
    <x:row r="39">
      <x:c r="B39" s="140"/>
      <x:c r="C39" s="239"/>
      <x:c r="D39" s="140"/>
      <x:c r="E39" s="140"/>
      <x:c r="F39" s="140"/>
      <x:c r="G39" s="140"/>
      <x:c r="H39" s="140"/>
      <x:c r="I39" s="140"/>
      <x:c r="J39" s="140"/>
      <x:c r="K39" s="140"/>
      <x:c r="L39" s="140"/>
      <x:c r="M39" s="140"/>
      <x:c r="N39" s="140"/>
      <x:c r="O39" s="140"/>
      <x:c r="P39" s="140"/>
      <x:c r="Q39" s="140"/>
      <x:c r="R39" s="140"/>
    </x:row>
    <x:row r="40">
      <x:c r="B40" s="394" t="str">
        <x:v>DEFLECTION — SDPWS TABLE 4.2.3 THREE-TERM FORMS</x:v>
      </x:c>
      <x:c r="C40" s="416"/>
      <x:c r="D40" s="394"/>
      <x:c r="E40" s="394"/>
      <x:c r="F40" s="394"/>
      <x:c r="G40" s="140"/>
      <x:c r="H40" s="140"/>
      <x:c r="I40" s="140"/>
      <x:c r="J40" s="140"/>
      <x:c r="K40" s="140"/>
      <x:c r="L40" s="140"/>
      <x:c r="M40" s="140"/>
      <x:c r="N40" s="140"/>
      <x:c r="O40" s="140"/>
      <x:c r="P40" s="140"/>
      <x:c r="Q40" s="140"/>
      <x:c r="R40" s="140"/>
    </x:row>
    <x:row r="41">
      <x:c r="B41" s="407" t="str">
        <x:v>Component</x:v>
      </x:c>
      <x:c r="C41" s="417" t="str">
        <x:v>Result</x:v>
      </x:c>
      <x:c r="D41" s="407" t="str">
        <x:v>Unit</x:v>
      </x:c>
      <x:c r="E41" s="407" t="str">
        <x:v>Equation / Basis</x:v>
      </x:c>
      <x:c r="F41" s="140"/>
      <x:c r="G41" s="140"/>
      <x:c r="H41" s="140"/>
      <x:c r="I41" s="140"/>
      <x:c r="J41" s="140"/>
      <x:c r="K41" s="140"/>
      <x:c r="L41" s="140"/>
      <x:c r="M41" s="140"/>
      <x:c r="N41" s="140"/>
      <x:c r="O41" s="140"/>
      <x:c r="P41" s="140"/>
      <x:c r="Q41" s="140"/>
      <x:c r="R41" s="140"/>
    </x:row>
    <x:row r="42">
      <x:c r="B42" s="152" t="str">
        <x:v>Chord / Flexural Deformation</x:v>
      </x:c>
      <x:c r="C42" s="415" t="str">
        <x:f>IF(C10="SIMPLY SUPPORTED UDL",IFERROR(5*C11*C12^3/(8*C16*C17*C13),""),IF(C10="CANTILEVER UDL",IFERROR(3*C11*C12^3/(C16*C17*C13),""),IF(C10="CANTILEVER TIP LOAD",IFERROR(8*C11*C12^3/(C16*C17*C13),""),"")))</x:f>
      </x:c>
      <x:c r="D42" s="152" t="str">
        <x:v>in</x:v>
      </x:c>
      <x:c r="E42" s="152" t="str">
        <x:v>Configuration-specific SDPWS equation</x:v>
      </x:c>
      <x:c r="F42" s="140"/>
      <x:c r="G42" s="140"/>
      <x:c r="H42" s="140"/>
      <x:c r="I42" s="140"/>
      <x:c r="J42" s="140"/>
      <x:c r="K42" s="140"/>
      <x:c r="L42" s="140"/>
      <x:c r="M42" s="140"/>
      <x:c r="N42" s="140"/>
      <x:c r="O42" s="140"/>
      <x:c r="P42" s="140"/>
      <x:c r="Q42" s="140"/>
      <x:c r="R42" s="140"/>
    </x:row>
    <x:row r="43">
      <x:c r="B43" s="152" t="str">
        <x:v>Panel Shear + Fastener Slip</x:v>
      </x:c>
      <x:c r="C43" s="415" t="str">
        <x:f>IF(C10="SIMPLY SUPPORTED UDL",IFERROR(0.25*C11*C12/(1000*C15),""),IF(C10="CANTILEVER UDL",IFERROR(0.5*C11*C12/(1000*C15),""),IF(C10="CANTILEVER TIP LOAD",IFERROR(C11*C12/(1000*C15),""),"")))</x:f>
      </x:c>
      <x:c r="D43" s="152" t="str">
        <x:v>in</x:v>
      </x:c>
      <x:c r="E43" s="152" t="str">
        <x:v>Ga term</x:v>
      </x:c>
      <x:c r="F43" s="140"/>
      <x:c r="G43" s="140"/>
      <x:c r="H43" s="140"/>
      <x:c r="I43" s="140"/>
      <x:c r="J43" s="140"/>
      <x:c r="K43" s="140"/>
      <x:c r="L43" s="140"/>
      <x:c r="M43" s="140"/>
      <x:c r="N43" s="140"/>
      <x:c r="O43" s="140"/>
      <x:c r="P43" s="140"/>
      <x:c r="Q43" s="140"/>
      <x:c r="R43" s="140"/>
    </x:row>
    <x:row r="44">
      <x:c r="B44" s="152" t="str">
        <x:v>Chord Splice Slip</x:v>
      </x:c>
      <x:c r="C44" s="415" t="str">
        <x:f>IF(C10="SIMPLY SUPPORTED UDL",IFERROR(C18/(2*C13),""),IF(OR(C10="CANTILEVER UDL",C10="CANTILEVER TIP LOAD"),IFERROR(C18/C13,""),""))</x:f>
      </x:c>
      <x:c r="D44" s="152" t="str">
        <x:v>in</x:v>
      </x:c>
      <x:c r="E44" s="152" t="str">
        <x:v>Σ(xΔc) term</x:v>
      </x:c>
      <x:c r="F44" s="140"/>
      <x:c r="G44" s="140"/>
      <x:c r="H44" s="140"/>
      <x:c r="I44" s="140"/>
      <x:c r="J44" s="140"/>
      <x:c r="K44" s="140"/>
      <x:c r="L44" s="140"/>
      <x:c r="M44" s="140"/>
      <x:c r="N44" s="140"/>
      <x:c r="O44" s="140"/>
      <x:c r="P44" s="140"/>
      <x:c r="Q44" s="140"/>
      <x:c r="R44" s="140"/>
    </x:row>
    <x:row r="45">
      <x:c r="B45" s="152" t="str">
        <x:v>Total Diaphragm Deflection</x:v>
      </x:c>
      <x:c r="C45" s="415" t="n">
        <x:f>IFERROR(SUM(C42:C44),"")</x:f>
        <x:v>0</x:v>
      </x:c>
      <x:c r="D45" s="152" t="str">
        <x:v>in</x:v>
      </x:c>
      <x:c r="E45" s="152" t="str">
        <x:v>Sum of three terms</x:v>
      </x:c>
      <x:c r="F45" s="140"/>
      <x:c r="G45" s="140"/>
      <x:c r="H45" s="140"/>
      <x:c r="I45" s="140"/>
      <x:c r="J45" s="140"/>
      <x:c r="K45" s="140"/>
      <x:c r="L45" s="140"/>
      <x:c r="M45" s="140"/>
      <x:c r="N45" s="140"/>
      <x:c r="O45" s="140"/>
      <x:c r="P45" s="140"/>
      <x:c r="Q45" s="140"/>
      <x:c r="R45" s="140"/>
    </x:row>
    <x:row r="46">
      <x:c r="B46" s="152" t="str">
        <x:v>Deflection Utilization</x:v>
      </x:c>
      <x:c r="C46" s="415" t="str">
        <x:f>IFERROR(C45/C21,"")</x:f>
      </x:c>
      <x:c r="D46" s="152" t="str"/>
      <x:c r="E46" s="152" t="str">
        <x:v>Δ / Δpermitted</x:v>
      </x:c>
      <x:c r="F46" s="140"/>
      <x:c r="G46" s="140"/>
      <x:c r="H46" s="140"/>
      <x:c r="I46" s="140"/>
      <x:c r="J46" s="140"/>
      <x:c r="K46" s="140"/>
      <x:c r="L46" s="140"/>
      <x:c r="M46" s="140"/>
      <x:c r="N46" s="140"/>
      <x:c r="O46" s="140"/>
      <x:c r="P46" s="140"/>
      <x:c r="Q46" s="140"/>
      <x:c r="R46" s="140"/>
    </x:row>
    <x:row r="47">
      <x:c r="B47" s="152" t="str">
        <x:v>Deflection as L/x</x:v>
      </x:c>
      <x:c r="C47" s="415" t="str">
        <x:f>IFERROR(12*C12/C45,"")</x:f>
      </x:c>
      <x:c r="D47" s="152" t="str">
        <x:v>L/x</x:v>
      </x:c>
      <x:c r="E47" s="152" t="str">
        <x:v>Informational</x:v>
      </x:c>
      <x:c r="F47" s="140"/>
      <x:c r="G47" s="140"/>
      <x:c r="H47" s="140"/>
      <x:c r="I47" s="140"/>
      <x:c r="J47" s="140"/>
      <x:c r="K47" s="140"/>
      <x:c r="L47" s="140"/>
      <x:c r="M47" s="140"/>
      <x:c r="N47" s="140"/>
      <x:c r="O47" s="140"/>
      <x:c r="P47" s="140"/>
      <x:c r="Q47" s="140"/>
      <x:c r="R47" s="140"/>
    </x:row>
    <x:row r="48">
      <x:c r="B48" s="140"/>
      <x:c r="C48" s="140"/>
      <x:c r="D48" s="140"/>
      <x:c r="E48" s="140"/>
      <x:c r="F48" s="140"/>
      <x:c r="G48" s="140"/>
      <x:c r="H48" s="140"/>
      <x:c r="I48" s="140"/>
      <x:c r="J48" s="140"/>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394" t="str">
        <x:v>CONTROLLED REVIEW GATES</x:v>
      </x:c>
      <x:c r="C50" s="394"/>
      <x:c r="D50" s="394"/>
      <x:c r="E50" s="394"/>
      <x:c r="F50" s="394"/>
      <x:c r="G50" s="394"/>
      <x:c r="H50" s="394"/>
      <x:c r="I50" s="394"/>
      <x:c r="J50" s="394"/>
      <x:c r="K50" s="140"/>
      <x:c r="L50" s="140"/>
      <x:c r="M50" s="140"/>
      <x:c r="N50" s="140"/>
      <x:c r="O50" s="140"/>
      <x:c r="P50" s="140"/>
      <x:c r="Q50" s="140"/>
      <x:c r="R50" s="140"/>
    </x:row>
    <x:row r="51">
      <x:c r="B51" s="407" t="str">
        <x:v>Gate</x:v>
      </x:c>
      <x:c r="C51" s="407" t="str">
        <x:v>Status</x:v>
      </x:c>
      <x:c r="D51" s="407" t="str">
        <x:v>Reason / action</x:v>
      </x:c>
      <x:c r="E51" s="407" t="str"/>
      <x:c r="F51" s="407" t="str"/>
      <x:c r="G51" s="407" t="str"/>
      <x:c r="H51" s="407" t="str"/>
      <x:c r="I51" s="407" t="str"/>
      <x:c r="J51" s="407" t="str"/>
      <x:c r="K51" s="140"/>
      <x:c r="L51" s="140"/>
      <x:c r="M51" s="140"/>
      <x:c r="N51" s="140"/>
      <x:c r="O51" s="140"/>
      <x:c r="P51" s="140"/>
      <x:c r="Q51" s="140"/>
      <x:c r="R51" s="140"/>
    </x:row>
    <x:row r="52" ht="40" customHeight="1">
      <x:c r="B52" s="152" t="str">
        <x:v>Diaphragm configuration / support model</x:v>
      </x:c>
      <x:c r="C52" s="152" t="str">
        <x:v>REVIEW</x:v>
      </x:c>
      <x:c r="D52" s="152" t="str">
        <x:v>Verify support condition and loading pattern match selected SDPWS deflection equation.</x:v>
      </x:c>
      <x:c r="E52" s="152" t="str"/>
      <x:c r="F52" s="152" t="str"/>
      <x:c r="G52" s="152" t="str"/>
      <x:c r="H52" s="152" t="str"/>
      <x:c r="I52" s="152" t="str"/>
      <x:c r="J52" s="152" t="str"/>
      <x:c r="K52" s="140"/>
      <x:c r="L52" s="140"/>
      <x:c r="M52" s="140"/>
      <x:c r="N52" s="140"/>
      <x:c r="O52" s="140"/>
      <x:c r="P52" s="140"/>
      <x:c r="Q52" s="140"/>
      <x:c r="R52" s="140"/>
    </x:row>
    <x:row r="53" ht="40" customHeight="1">
      <x:c r="B53" s="152" t="str">
        <x:v>Openings / collectors / transfer forces</x:v>
      </x:c>
      <x:c r="C53" s="152" t="str">
        <x:v>REVIEW</x:v>
      </x:c>
      <x:c r="D53" s="152" t="str">
        <x:v>Design collectors, drag struts, chords, opening reinforcement, and connections separately.</x:v>
      </x:c>
      <x:c r="E53" s="152" t="str"/>
      <x:c r="F53" s="152" t="str"/>
      <x:c r="G53" s="152" t="str"/>
      <x:c r="H53" s="152" t="str"/>
      <x:c r="I53" s="152" t="str"/>
      <x:c r="J53" s="152" t="str"/>
      <x:c r="K53" s="140"/>
      <x:c r="L53" s="140"/>
      <x:c r="M53" s="140"/>
      <x:c r="N53" s="140"/>
      <x:c r="O53" s="140"/>
      <x:c r="P53" s="140"/>
      <x:c r="Q53" s="140"/>
      <x:c r="R53" s="140"/>
    </x:row>
    <x:row r="54" ht="40" customHeight="1">
      <x:c r="B54" s="152" t="str">
        <x:v>Torsion / semi-rigid distribution</x:v>
      </x:c>
      <x:c r="C54" s="152" t="str">
        <x:v>REVIEW</x:v>
      </x:c>
      <x:c r="D54" s="152" t="str">
        <x:v>Coordinate with ASCE 7 analysis assumptions; diaphragm stiffness may affect lateral-force distribution.</x:v>
      </x:c>
      <x:c r="E54" s="152" t="str"/>
      <x:c r="F54" s="152" t="str"/>
      <x:c r="G54" s="152" t="str"/>
      <x:c r="H54" s="152" t="str"/>
      <x:c r="I54" s="152" t="str"/>
      <x:c r="J54" s="152" t="str"/>
      <x:c r="K54" s="140"/>
      <x:c r="L54" s="140"/>
      <x:c r="M54" s="140"/>
      <x:c r="N54" s="140"/>
      <x:c r="O54" s="140"/>
      <x:c r="P54" s="140"/>
      <x:c r="Q54" s="140"/>
      <x:c r="R54" s="140"/>
    </x:row>
    <x:row r="55" ht="40" customHeight="1">
      <x:c r="B55" s="152" t="str">
        <x:v>Chord and splice capacity</x:v>
      </x:c>
      <x:c r="C55" s="152" t="str">
        <x:v>REVIEW</x:v>
      </x:c>
      <x:c r="D55" s="152" t="str">
        <x:v>Chord force above is mechanics screen only; NDS/member/connection design required.</x:v>
      </x:c>
      <x:c r="E55" s="152" t="str"/>
      <x:c r="F55" s="152" t="str"/>
      <x:c r="G55" s="152" t="str"/>
      <x:c r="H55" s="152" t="str"/>
      <x:c r="I55" s="152" t="str"/>
      <x:c r="J55" s="152" t="str"/>
      <x:c r="K55" s="140"/>
      <x:c r="L55" s="140"/>
      <x:c r="M55" s="140"/>
      <x:c r="N55" s="140"/>
      <x:c r="O55" s="140"/>
      <x:c r="P55" s="140"/>
      <x:c r="Q55" s="140"/>
      <x:c r="R55" s="140"/>
    </x:row>
    <x:row r="56" ht="40" customHeight="1">
      <x:c r="B56" s="152" t="str">
        <x:v>Ga applicability</x:v>
      </x:c>
      <x:c r="C56" s="152" t="str">
        <x:v>REVIEW</x:v>
      </x:c>
      <x:c r="D56" s="152" t="str">
        <x:v>Use sourced Ga for selected assembly; AWC allows tabulated Ga for wind shear deformation within stated limits.</x:v>
      </x:c>
      <x:c r="E56" s="152" t="str"/>
      <x:c r="F56" s="152" t="str"/>
      <x:c r="G56" s="152" t="str"/>
      <x:c r="H56" s="152" t="str"/>
      <x:c r="I56" s="152" t="str"/>
      <x:c r="J56" s="152" t="str"/>
      <x:c r="K56" s="140"/>
      <x:c r="L56" s="140"/>
      <x:c r="M56" s="140"/>
      <x:c r="N56" s="140"/>
      <x:c r="O56" s="140"/>
      <x:c r="P56" s="140"/>
      <x:c r="Q56" s="140"/>
      <x:c r="R56" s="140"/>
    </x:row>
    <x:row r="57" ht="40" customHeight="1">
      <x:c r="B57" s="152" t="str">
        <x:v>Publication gate</x:v>
      </x:c>
      <x:c r="C57" s="152" t="str">
        <x:v>REVIEW</x:v>
      </x:c>
      <x:c r="D57" s="152" t="str">
        <x:v>Engineer review required before construction-document issue.</x:v>
      </x:c>
      <x:c r="E57" s="152" t="str"/>
      <x:c r="F57" s="152" t="str"/>
      <x:c r="G57" s="152" t="str"/>
      <x:c r="H57" s="152" t="str"/>
      <x:c r="I57" s="152" t="str"/>
      <x:c r="J57" s="152" t="str"/>
      <x:c r="K57" s="140"/>
      <x:c r="L57" s="140"/>
      <x:c r="M57" s="140"/>
      <x:c r="N57" s="140"/>
      <x:c r="O57" s="140"/>
      <x:c r="P57" s="140"/>
      <x:c r="Q57" s="140"/>
      <x:c r="R57" s="140"/>
    </x:row>
    <x:row r="58">
      <x:c r="B58" s="140"/>
      <x:c r="C58" s="140"/>
      <x:c r="D58" s="140"/>
      <x:c r="E58" s="140"/>
      <x:c r="F58" s="140"/>
      <x:c r="G58" s="140"/>
      <x:c r="H58" s="140"/>
      <x:c r="I58" s="140"/>
      <x:c r="J58" s="140"/>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H6:J6"/>
    <x:mergeCell ref="B28:F28"/>
    <x:mergeCell ref="B40:F40"/>
    <x:mergeCell ref="B50:J50"/>
    <x:mergeCell ref="M2:R2"/>
    <x:mergeCell ref="M12:R14"/>
    <x:mergeCell ref="D52:J52"/>
    <x:mergeCell ref="D53:J53"/>
    <x:mergeCell ref="D54:J54"/>
    <x:mergeCell ref="D55:J55"/>
    <x:mergeCell ref="D56:J56"/>
    <x:mergeCell ref="D57:J57"/>
    <x:mergeCell ref="D51:J51"/>
  </x:mergeCells>
  <x:conditionalFormatting sqref="I7:I13">
    <x:cfRule type="expression" dxfId="104" priority="1">
      <x:formula>I7="PASS"</x:formula>
    </x:cfRule>
    <x:cfRule type="expression" dxfId="105" priority="2">
      <x:formula>I7="FAIL"</x:formula>
    </x:cfRule>
    <x:cfRule type="expression" dxfId="106" priority="3">
      <x:formula>OR(I7="REVIEW",I7="PENDING",I7="CHECK")</x:formula>
    </x:cfRule>
  </x:conditionalFormatting>
  <x:conditionalFormatting sqref="F8:F23">
    <x:cfRule type="expression" dxfId="107" priority="4">
      <x:formula>F8="PASS"</x:formula>
    </x:cfRule>
    <x:cfRule type="expression" dxfId="108" priority="5">
      <x:formula>F8="FAIL"</x:formula>
    </x:cfRule>
    <x:cfRule type="expression" dxfId="109" priority="6">
      <x:formula>OR(F8="REVIEW",F8="PENDING",F8="CHECK")</x:formula>
    </x:cfRule>
  </x:conditionalFormatting>
  <x:conditionalFormatting sqref="C32:C32">
    <x:cfRule type="expression" dxfId="110" priority="7">
      <x:formula>C32="PASS"</x:formula>
    </x:cfRule>
    <x:cfRule type="expression" dxfId="111" priority="8">
      <x:formula>C32="FAIL"</x:formula>
    </x:cfRule>
    <x:cfRule type="expression" dxfId="112" priority="9">
      <x:formula>OR(C32="REVIEW",C32="PENDING",C32="CHECK")</x:formula>
    </x:cfRule>
  </x:conditionalFormatting>
  <x:conditionalFormatting sqref="R4:R10">
    <x:cfRule type="expression" dxfId="113" priority="10">
      <x:formula>R4="PASS"</x:formula>
    </x:cfRule>
    <x:cfRule type="expression" dxfId="114" priority="11">
      <x:formula>R4="FAIL"</x:formula>
    </x:cfRule>
    <x:cfRule type="expression" dxfId="115" priority="12">
      <x:formula>OR(R4="REVIEW",R4="PENDING",R4="CHECK")</x:formula>
    </x:cfRule>
  </x:conditionalFormatting>
  <x:pageMargins left="0.7" right="0.7" top="0.75" bottom="0.75" header="0.3" footer="0.3"/>
</x:worksheet>
</file>

<file path=xl/worksheets/sheet30.xml><?xml version="1.0" encoding="utf-8"?>
<x:worksheet xmlns:x="http://schemas.openxmlformats.org/spreadsheetml/2006/main">
  <x:sheetFormatPr defaultRowHeight="15"/>
  <x:cols>
    <x:col min="2" max="2" width="8" hidden="0" customWidth="1"/>
    <x:col min="3" max="3" width="34" hidden="0" customWidth="1"/>
    <x:col min="4" max="4" width="18" hidden="0" customWidth="1"/>
    <x:col min="5" max="5" width="12" hidden="0" customWidth="1"/>
    <x:col min="6" max="6" width="28" hidden="0" customWidth="1"/>
    <x:col min="7" max="7" width="32" hidden="0" customWidth="1"/>
    <x:col min="8" max="8" width="12" hidden="0" customWidth="1"/>
  </x:cols>
  <x:sheetData>
    <x:row r="2" ht="28" customHeight="1">
      <x:c r="B2" s="398" t="str">
        <x:v>LONGHAND CALCULATION — SHEAR WALL</x:v>
      </x:c>
      <x:c r="C2" s="398"/>
      <x:c r="D2" s="398"/>
      <x:c r="E2" s="398"/>
      <x:c r="F2" s="398"/>
      <x:c r="G2" s="398"/>
      <x:c r="H2" s="398"/>
    </x:row>
    <x:row r="4">
      <x:c r="B4" s="391" t="str">
        <x:v>Calculation trace</x:v>
      </x:c>
      <x:c r="C4" s="391" t="str"/>
      <x:c r="D4" s="391" t="str"/>
      <x:c r="E4" s="391" t="str"/>
      <x:c r="F4" s="391" t="str"/>
      <x:c r="G4" s="391" t="str"/>
      <x:c r="H4" s="391" t="str"/>
    </x:row>
    <x:row r="5">
      <x:c r="B5" s="407" t="str">
        <x:v>Step</x:v>
      </x:c>
      <x:c r="C5" s="407" t="str">
        <x:v>Parameter / equation</x:v>
      </x:c>
      <x:c r="D5" s="407" t="str">
        <x:v>Value</x:v>
      </x:c>
      <x:c r="E5" s="407" t="str">
        <x:v>Unit</x:v>
      </x:c>
      <x:c r="F5" s="407" t="str">
        <x:v>Source</x:v>
      </x:c>
      <x:c r="G5" s="407" t="str">
        <x:v>Independent check</x:v>
      </x:c>
      <x:c r="H5" s="407" t="str">
        <x:v>Status</x:v>
      </x:c>
    </x:row>
    <x:row r="6">
      <x:c r="B6" s="408" t="str">
        <x:v>1</x:v>
      </x:c>
      <x:c r="C6" s="408" t="str">
        <x:v>Wall mark</x:v>
      </x:c>
      <x:c r="D6" s="418" t="str">
        <x:f>IF('24_SHEAR_WALL'!C8="","",'24_SHEAR_WALL'!C8)</x:f>
      </x:c>
      <x:c r="E6" s="408" t="str"/>
      <x:c r="F6" s="408" t="str">
        <x:v>Project inputs</x:v>
      </x:c>
      <x:c r="G6" s="408" t="str"/>
      <x:c r="H6" s="408" t="str">
        <x:f>IF(D6="","PENDING","OK")</x:f>
        <x:v>PENDING</x:v>
      </x:c>
    </x:row>
    <x:row r="7">
      <x:c r="B7" s="408" t="str">
        <x:v>2</x:v>
      </x:c>
      <x:c r="C7" s="408" t="str">
        <x:v>Design force type</x:v>
      </x:c>
      <x:c r="D7" s="418" t="str">
        <x:f>IF('24_SHEAR_WALL'!C9="","",'24_SHEAR_WALL'!C9)</x:f>
      </x:c>
      <x:c r="E7" s="408" t="str"/>
      <x:c r="F7" s="408" t="str">
        <x:v>Project inputs</x:v>
      </x:c>
      <x:c r="G7" s="408" t="str"/>
      <x:c r="H7" s="408" t="str">
        <x:f>IF(D7="","PENDING","OK")</x:f>
        <x:v>PENDING</x:v>
      </x:c>
    </x:row>
    <x:row r="8">
      <x:c r="B8" s="408" t="str">
        <x:v>3</x:v>
      </x:c>
      <x:c r="C8" s="408" t="str">
        <x:v>ASD reduction factor</x:v>
      </x:c>
      <x:c r="D8" s="418" t="str">
        <x:f>IF('24_SHEAR_WALL'!C30="","",'24_SHEAR_WALL'!C30)</x:f>
      </x:c>
      <x:c r="E8" s="408" t="str"/>
      <x:c r="F8" s="408" t="str">
        <x:v>SDPWS 4.1.4</x:v>
      </x:c>
      <x:c r="G8" s="408" t="str">
        <x:v>Wind=2.0; Seismic=2.8</x:v>
      </x:c>
      <x:c r="H8" s="408" t="str">
        <x:f>IF(D8="","PENDING","OK")</x:f>
        <x:v>PENDING</x:v>
      </x:c>
    </x:row>
    <x:row r="9">
      <x:c r="B9" s="408" t="str">
        <x:v>4</x:v>
      </x:c>
      <x:c r="C9" s="408" t="str">
        <x:v>Aspect ratio h/b</x:v>
      </x:c>
      <x:c r="D9" s="418" t="str">
        <x:f>IF('24_SHEAR_WALL'!C31="","",'24_SHEAR_WALL'!C31)</x:f>
      </x:c>
      <x:c r="E9" s="408" t="str"/>
      <x:c r="F9" s="408" t="str">
        <x:v>Geometry</x:v>
      </x:c>
      <x:c r="G9" s="408" t="str">
        <x:v>h ÷ b</x:v>
      </x:c>
      <x:c r="H9" s="408" t="str">
        <x:f>IF(D9="","PENDING","OK")</x:f>
        <x:v>PENDING</x:v>
      </x:c>
    </x:row>
    <x:row r="10">
      <x:c r="B10" s="408" t="str">
        <x:v>5</x:v>
      </x:c>
      <x:c r="C10" s="408" t="str">
        <x:v>WSP aspect ratio factor</x:v>
      </x:c>
      <x:c r="D10" s="418" t="str">
        <x:f>IF('24_SHEAR_WALL'!C33="","",'24_SHEAR_WALL'!C33)</x:f>
      </x:c>
      <x:c r="E10" s="408" t="str"/>
      <x:c r="F10" s="408" t="str">
        <x:v>SDPWS 4.3.3.2</x:v>
      </x:c>
      <x:c r="G10" s="408" t="str">
        <x:v>1.0 to h/b=2; then 1.25−0.125h/b</x:v>
      </x:c>
      <x:c r="H10" s="408" t="str">
        <x:f>IF(D10="","PENDING","OK")</x:f>
        <x:v>PENDING</x:v>
      </x:c>
    </x:row>
    <x:row r="11">
      <x:c r="B11" s="408" t="str">
        <x:v>6</x:v>
      </x:c>
      <x:c r="C11" s="408" t="str">
        <x:v>Allowable unit shear</x:v>
      </x:c>
      <x:c r="D11" s="418" t="str">
        <x:f>IF('24_SHEAR_WALL'!C35="","",'24_SHEAR_WALL'!C35)</x:f>
      </x:c>
      <x:c r="E11" s="408" t="str">
        <x:v>plf</x:v>
      </x:c>
      <x:c r="F11" s="408" t="str">
        <x:v>SDPWS + source record</x:v>
      </x:c>
      <x:c r="G11" s="408" t="str">
        <x:v>vn ÷ ASD × factors</x:v>
      </x:c>
      <x:c r="H11" s="408" t="str">
        <x:f>IF(D11="","PENDING","OK")</x:f>
        <x:v>PENDING</x:v>
      </x:c>
    </x:row>
    <x:row r="12">
      <x:c r="B12" s="408" t="str">
        <x:v>7</x:v>
      </x:c>
      <x:c r="C12" s="408" t="str">
        <x:v>Induced unit shear</x:v>
      </x:c>
      <x:c r="D12" s="418" t="str">
        <x:f>IF('24_SHEAR_WALL'!C36="","",'24_SHEAR_WALL'!C36)</x:f>
      </x:c>
      <x:c r="E12" s="408" t="str">
        <x:v>plf</x:v>
      </x:c>
      <x:c r="F12" s="408" t="str">
        <x:v>Mechanics</x:v>
      </x:c>
      <x:c r="G12" s="408" t="str">
        <x:v>V ÷ Σb</x:v>
      </x:c>
      <x:c r="H12" s="408" t="str">
        <x:f>IF(D12="","PENDING","OK")</x:f>
        <x:v>PENDING</x:v>
      </x:c>
    </x:row>
    <x:row r="13">
      <x:c r="B13" s="408" t="str">
        <x:v>8</x:v>
      </x:c>
      <x:c r="C13" s="408" t="str">
        <x:v>Strength D/C</x:v>
      </x:c>
      <x:c r="D13" s="418" t="str">
        <x:f>IF('24_SHEAR_WALL'!C38="","",'24_SHEAR_WALL'!C38)</x:f>
      </x:c>
      <x:c r="E13" s="408" t="str"/>
      <x:c r="F13" s="408" t="str">
        <x:v>Demand/capacity</x:v>
      </x:c>
      <x:c r="G13" s="408" t="str">
        <x:v>v / vallow</x:v>
      </x:c>
      <x:c r="H13" s="408" t="str">
        <x:f>IF(D13="","PENDING","OK")</x:f>
        <x:v>PENDING</x:v>
      </x:c>
    </x:row>
    <x:row r="14">
      <x:c r="B14" s="408" t="str">
        <x:v>9</x:v>
      </x:c>
      <x:c r="C14" s="408" t="str">
        <x:v>Bending deflection</x:v>
      </x:c>
      <x:c r="D14" s="418" t="str">
        <x:f>IF('24_SHEAR_WALL'!C44="","",'24_SHEAR_WALL'!C44)</x:f>
      </x:c>
      <x:c r="E14" s="408" t="str">
        <x:v>in</x:v>
      </x:c>
      <x:c r="F14" s="408" t="str">
        <x:v>SDPWS 4.3-1</x:v>
      </x:c>
      <x:c r="G14" s="408" t="str">
        <x:v>8vh³/(EAb)</x:v>
      </x:c>
      <x:c r="H14" s="408" t="str">
        <x:f>IF(D14="","PENDING","OK")</x:f>
        <x:v>PENDING</x:v>
      </x:c>
    </x:row>
    <x:row r="15">
      <x:c r="B15" s="408" t="str">
        <x:v>10</x:v>
      </x:c>
      <x:c r="C15" s="408" t="str">
        <x:v>Shear/fastener deflection</x:v>
      </x:c>
      <x:c r="D15" s="418" t="str">
        <x:f>IF('24_SHEAR_WALL'!C45="","",'24_SHEAR_WALL'!C45)</x:f>
      </x:c>
      <x:c r="E15" s="408" t="str">
        <x:v>in</x:v>
      </x:c>
      <x:c r="F15" s="408" t="str">
        <x:v>SDPWS 4.3-1</x:v>
      </x:c>
      <x:c r="G15" s="408" t="str">
        <x:v>vh/(1000Ga)</x:v>
      </x:c>
      <x:c r="H15" s="408" t="str">
        <x:f>IF(D15="","PENDING","OK")</x:f>
        <x:v>PENDING</x:v>
      </x:c>
    </x:row>
    <x:row r="16">
      <x:c r="B16" s="408" t="str">
        <x:v>11</x:v>
      </x:c>
      <x:c r="C16" s="408" t="str">
        <x:v>Anchorage deflection</x:v>
      </x:c>
      <x:c r="D16" s="418" t="str">
        <x:f>IF('24_SHEAR_WALL'!C46="","",'24_SHEAR_WALL'!C46)</x:f>
      </x:c>
      <x:c r="E16" s="408" t="str">
        <x:v>in</x:v>
      </x:c>
      <x:c r="F16" s="408" t="str">
        <x:v>SDPWS 4.3-1</x:v>
      </x:c>
      <x:c r="G16" s="408" t="str">
        <x:v>(h/b)Δa</x:v>
      </x:c>
      <x:c r="H16" s="408" t="str">
        <x:f>IF(D16="","PENDING","OK")</x:f>
        <x:v>PENDING</x:v>
      </x:c>
    </x:row>
    <x:row r="17">
      <x:c r="B17" s="408" t="str">
        <x:v>12</x:v>
      </x:c>
      <x:c r="C17" s="408" t="str">
        <x:v>Total deflection</x:v>
      </x:c>
      <x:c r="D17" s="418" t="str">
        <x:f>IF('24_SHEAR_WALL'!C47="","",'24_SHEAR_WALL'!C47)</x:f>
      </x:c>
      <x:c r="E17" s="408" t="str">
        <x:v>in</x:v>
      </x:c>
      <x:c r="F17" s="408" t="str">
        <x:v>SDPWS 4.3-1</x:v>
      </x:c>
      <x:c r="G17" s="408" t="str">
        <x:v>sum components</x:v>
      </x:c>
      <x:c r="H17" s="408" t="str">
        <x:f>IF(D17="","PENDING","OK")</x:f>
        <x:v>PENDING</x:v>
      </x:c>
    </x:row>
    <x:row r="18">
      <x:c r="B18" s="408" t="str">
        <x:v>13</x:v>
      </x:c>
      <x:c r="C18" s="408" t="str">
        <x:v>Deflection D/C</x:v>
      </x:c>
      <x:c r="D18" s="418" t="str">
        <x:f>IF('24_SHEAR_WALL'!C48="","",'24_SHEAR_WALL'!C48)</x:f>
      </x:c>
      <x:c r="E18" s="408" t="str"/>
      <x:c r="F18" s="408" t="str">
        <x:v>Project/code criterion</x:v>
      </x:c>
      <x:c r="G18" s="408" t="str">
        <x:v>Δ / Δpermitted</x:v>
      </x:c>
      <x:c r="H18" s="408" t="str">
        <x:f>IF(D18="","PENDING","OK")</x:f>
        <x:v>PENDING</x:v>
      </x:c>
    </x:row>
    <x:row r="19">
      <x:c r="B19" s="408" t="str">
        <x:v>14</x:v>
      </x:c>
      <x:c r="C19" s="408" t="str">
        <x:v>Overall module status</x:v>
      </x:c>
      <x:c r="D19" s="418" t="str">
        <x:f>IF('24_SHEAR_WALL'!I13="","",'24_SHEAR_WALL'!I13)</x:f>
        <x:v>PENDING</x:v>
      </x:c>
      <x:c r="E19" s="408" t="str"/>
      <x:c r="F19" s="408" t="str">
        <x:v>24_SHEAR_WALL</x:v>
      </x:c>
      <x:c r="G19" s="408" t="str"/>
      <x:c r="H19" s="408" t="str">
        <x:f>IF(D19="","PENDING","OK")</x:f>
        <x:v>OK</x:v>
      </x:c>
    </x:row>
    <x:row r="22">
      <x:c r="B22" s="409" t="str">
        <x:v>Longhand publication note: the calculation shows the governing equations and substitutions through linked project values. Capacity/stiffness table values are not reproduced; the report instead carries their source record so a reviewer can trace the licensed standard, ESR, or manufacturer document.</x:v>
      </x:c>
      <x:c r="C22" s="409"/>
      <x:c r="D22" s="409"/>
      <x:c r="E22" s="409"/>
      <x:c r="F22" s="409"/>
      <x:c r="G22" s="409"/>
      <x:c r="H22" s="409"/>
    </x:row>
    <x:row r="23">
      <x:c r="B23" s="409"/>
      <x:c r="C23" s="409"/>
      <x:c r="D23" s="409"/>
      <x:c r="E23" s="409"/>
      <x:c r="F23" s="409"/>
      <x:c r="G23" s="409"/>
      <x:c r="H23" s="409"/>
    </x:row>
    <x:row r="24">
      <x:c r="B24" s="409"/>
      <x:c r="C24" s="409"/>
      <x:c r="D24" s="409"/>
      <x:c r="E24" s="409"/>
      <x:c r="F24" s="409"/>
      <x:c r="G24" s="409"/>
      <x:c r="H24" s="409"/>
    </x:row>
    <x:row r="25">
      <x:c r="B25" s="409"/>
      <x:c r="C25" s="409"/>
      <x:c r="D25" s="409"/>
      <x:c r="E25" s="409"/>
      <x:c r="F25" s="409"/>
      <x:c r="G25" s="409"/>
      <x:c r="H25" s="409"/>
    </x:row>
  </x:sheetData>
  <x:mergeCells>
    <x:mergeCell ref="B2:H2"/>
    <x:mergeCell ref="B22:H25"/>
  </x:mergeCells>
  <x:pageMargins left="0.7" right="0.7" top="0.75" bottom="0.75" header="0.3" footer="0.3"/>
</x:worksheet>
</file>

<file path=xl/worksheets/sheet31.xml><?xml version="1.0" encoding="utf-8"?>
<x:worksheet xmlns:x="http://schemas.openxmlformats.org/spreadsheetml/2006/main">
  <x:sheetFormatPr defaultRowHeight="15"/>
  <x:cols>
    <x:col min="2" max="2" width="8" hidden="0" customWidth="1"/>
    <x:col min="3" max="3" width="34" hidden="0" customWidth="1"/>
    <x:col min="4" max="4" width="18" hidden="0" customWidth="1"/>
    <x:col min="5" max="5" width="12" hidden="0" customWidth="1"/>
    <x:col min="6" max="6" width="28" hidden="0" customWidth="1"/>
    <x:col min="7" max="7" width="32" hidden="0" customWidth="1"/>
    <x:col min="8" max="8" width="12" hidden="0" customWidth="1"/>
  </x:cols>
  <x:sheetData>
    <x:row r="2" ht="28" customHeight="1">
      <x:c r="B2" s="398" t="str">
        <x:v>LONGHAND CALCULATION — DIAPHRAGM</x:v>
      </x:c>
      <x:c r="C2" s="398"/>
      <x:c r="D2" s="398"/>
      <x:c r="E2" s="398"/>
      <x:c r="F2" s="398"/>
      <x:c r="G2" s="398"/>
      <x:c r="H2" s="398"/>
    </x:row>
    <x:row r="4">
      <x:c r="B4" s="391" t="str">
        <x:v>Calculation trace</x:v>
      </x:c>
      <x:c r="C4" s="391" t="str"/>
      <x:c r="D4" s="391" t="str"/>
      <x:c r="E4" s="391" t="str"/>
      <x:c r="F4" s="391" t="str"/>
      <x:c r="G4" s="391" t="str"/>
      <x:c r="H4" s="391" t="str"/>
    </x:row>
    <x:row r="5">
      <x:c r="B5" s="407" t="str">
        <x:v>Step</x:v>
      </x:c>
      <x:c r="C5" s="407" t="str">
        <x:v>Parameter / equation</x:v>
      </x:c>
      <x:c r="D5" s="407" t="str">
        <x:v>Value</x:v>
      </x:c>
      <x:c r="E5" s="407" t="str">
        <x:v>Unit</x:v>
      </x:c>
      <x:c r="F5" s="407" t="str">
        <x:v>Source</x:v>
      </x:c>
      <x:c r="G5" s="407" t="str">
        <x:v>Independent check</x:v>
      </x:c>
      <x:c r="H5" s="407" t="str">
        <x:v>Status</x:v>
      </x:c>
    </x:row>
    <x:row r="6">
      <x:c r="B6" s="408" t="str">
        <x:v>1</x:v>
      </x:c>
      <x:c r="C6" s="408" t="str">
        <x:v>Diaphragm mark</x:v>
      </x:c>
      <x:c r="D6" s="418" t="str">
        <x:f>IF('25_DIAPHRAGM'!C8="","",'25_DIAPHRAGM'!C8)</x:f>
      </x:c>
      <x:c r="E6" s="408" t="str"/>
      <x:c r="F6" s="408" t="str">
        <x:v>Project inputs</x:v>
      </x:c>
      <x:c r="G6" s="408" t="str"/>
      <x:c r="H6" s="408" t="str">
        <x:f>IF(D6="","PENDING","OK")</x:f>
        <x:v>PENDING</x:v>
      </x:c>
    </x:row>
    <x:row r="7">
      <x:c r="B7" s="408" t="str">
        <x:v>2</x:v>
      </x:c>
      <x:c r="C7" s="408" t="str">
        <x:v>Configuration</x:v>
      </x:c>
      <x:c r="D7" s="418" t="str">
        <x:f>IF('25_DIAPHRAGM'!C10="","",'25_DIAPHRAGM'!C10)</x:f>
      </x:c>
      <x:c r="E7" s="408" t="str"/>
      <x:c r="F7" s="408" t="str">
        <x:v>Project inputs</x:v>
      </x:c>
      <x:c r="G7" s="408" t="str"/>
      <x:c r="H7" s="408" t="str">
        <x:f>IF(D7="","PENDING","OK")</x:f>
        <x:v>PENDING</x:v>
      </x:c>
    </x:row>
    <x:row r="8">
      <x:c r="B8" s="408" t="str">
        <x:v>3</x:v>
      </x:c>
      <x:c r="C8" s="408" t="str">
        <x:v>ASD reduction factor</x:v>
      </x:c>
      <x:c r="D8" s="418" t="str">
        <x:f>IF('25_DIAPHRAGM'!C30="","",'25_DIAPHRAGM'!C30)</x:f>
      </x:c>
      <x:c r="E8" s="408" t="str"/>
      <x:c r="F8" s="408" t="str">
        <x:v>SDPWS 4.1.4</x:v>
      </x:c>
      <x:c r="G8" s="408" t="str">
        <x:v>Wind=2.0; Seismic=2.8</x:v>
      </x:c>
      <x:c r="H8" s="408" t="str">
        <x:f>IF(D8="","PENDING","OK")</x:f>
        <x:v>PENDING</x:v>
      </x:c>
    </x:row>
    <x:row r="9">
      <x:c r="B9" s="408" t="str">
        <x:v>4</x:v>
      </x:c>
      <x:c r="C9" s="408" t="str">
        <x:v>Aspect ratio L/W</x:v>
      </x:c>
      <x:c r="D9" s="418" t="str">
        <x:f>IF('25_DIAPHRAGM'!C31="","",'25_DIAPHRAGM'!C31)</x:f>
      </x:c>
      <x:c r="E9" s="408" t="str"/>
      <x:c r="F9" s="408" t="str">
        <x:v>Geometry</x:v>
      </x:c>
      <x:c r="G9" s="408" t="str">
        <x:v>L ÷ W</x:v>
      </x:c>
      <x:c r="H9" s="408" t="str">
        <x:f>IF(D9="","PENDING","OK")</x:f>
        <x:v>PENDING</x:v>
      </x:c>
    </x:row>
    <x:row r="10">
      <x:c r="B10" s="408" t="str">
        <x:v>5</x:v>
      </x:c>
      <x:c r="C10" s="408" t="str">
        <x:v>Allowable unit shear</x:v>
      </x:c>
      <x:c r="D10" s="418" t="str">
        <x:f>IF('25_DIAPHRAGM'!C33="","",'25_DIAPHRAGM'!C33)</x:f>
      </x:c>
      <x:c r="E10" s="408" t="str">
        <x:v>plf</x:v>
      </x:c>
      <x:c r="F10" s="408" t="str">
        <x:v>SDPWS + source record</x:v>
      </x:c>
      <x:c r="G10" s="408" t="str">
        <x:v>vn ÷ ASD × factors</x:v>
      </x:c>
      <x:c r="H10" s="408" t="str">
        <x:f>IF(D10="","PENDING","OK")</x:f>
        <x:v>PENDING</x:v>
      </x:c>
    </x:row>
    <x:row r="11">
      <x:c r="B11" s="408" t="str">
        <x:v>6</x:v>
      </x:c>
      <x:c r="C11" s="408" t="str">
        <x:v>Unit-shear D/C</x:v>
      </x:c>
      <x:c r="D11" s="418" t="str">
        <x:f>IF('25_DIAPHRAGM'!C36="","",'25_DIAPHRAGM'!C36)</x:f>
      </x:c>
      <x:c r="E11" s="408" t="str"/>
      <x:c r="F11" s="408" t="str">
        <x:v>Demand/capacity</x:v>
      </x:c>
      <x:c r="G11" s="408" t="str">
        <x:v>v / vallow</x:v>
      </x:c>
      <x:c r="H11" s="408" t="str">
        <x:f>IF(D11="","PENDING","OK")</x:f>
        <x:v>PENDING</x:v>
      </x:c>
    </x:row>
    <x:row r="12">
      <x:c r="B12" s="408" t="str">
        <x:v>7</x:v>
      </x:c>
      <x:c r="C12" s="408" t="str">
        <x:v>Chord force screen</x:v>
      </x:c>
      <x:c r="D12" s="418" t="str">
        <x:f>IF('25_DIAPHRAGM'!C37="","",'25_DIAPHRAGM'!C37)</x:f>
      </x:c>
      <x:c r="E12" s="408" t="str">
        <x:v>lb</x:v>
      </x:c>
      <x:c r="F12" s="408" t="str">
        <x:v>Beam mechanics</x:v>
      </x:c>
      <x:c r="G12" s="408" t="str">
        <x:v>Depends on support/loading configuration</x:v>
      </x:c>
      <x:c r="H12" s="408" t="str">
        <x:f>IF(D12="","PENDING","OK")</x:f>
        <x:v>PENDING</x:v>
      </x:c>
    </x:row>
    <x:row r="13">
      <x:c r="B13" s="408" t="str">
        <x:v>8</x:v>
      </x:c>
      <x:c r="C13" s="408" t="str">
        <x:v>Chord/flexural deflection</x:v>
      </x:c>
      <x:c r="D13" s="418" t="str">
        <x:f>IF('25_DIAPHRAGM'!C42="","",'25_DIAPHRAGM'!C42)</x:f>
      </x:c>
      <x:c r="E13" s="408" t="str">
        <x:v>in</x:v>
      </x:c>
      <x:c r="F13" s="408" t="str">
        <x:v>SDPWS Table 4.2.3</x:v>
      </x:c>
      <x:c r="G13" s="408" t="str">
        <x:v>Configuration-specific</x:v>
      </x:c>
      <x:c r="H13" s="408" t="str">
        <x:f>IF(D13="","PENDING","OK")</x:f>
        <x:v>PENDING</x:v>
      </x:c>
    </x:row>
    <x:row r="14">
      <x:c r="B14" s="408" t="str">
        <x:v>9</x:v>
      </x:c>
      <x:c r="C14" s="408" t="str">
        <x:v>Shear/fastener deflection</x:v>
      </x:c>
      <x:c r="D14" s="418" t="str">
        <x:f>IF('25_DIAPHRAGM'!C43="","",'25_DIAPHRAGM'!C43)</x:f>
      </x:c>
      <x:c r="E14" s="408" t="str">
        <x:v>in</x:v>
      </x:c>
      <x:c r="F14" s="408" t="str">
        <x:v>SDPWS Table 4.2.3</x:v>
      </x:c>
      <x:c r="G14" s="408" t="str">
        <x:v>Ga term</x:v>
      </x:c>
      <x:c r="H14" s="408" t="str">
        <x:f>IF(D14="","PENDING","OK")</x:f>
        <x:v>PENDING</x:v>
      </x:c>
    </x:row>
    <x:row r="15">
      <x:c r="B15" s="408" t="str">
        <x:v>10</x:v>
      </x:c>
      <x:c r="C15" s="408" t="str">
        <x:v>Chord splice slip</x:v>
      </x:c>
      <x:c r="D15" s="418" t="str">
        <x:f>IF('25_DIAPHRAGM'!C44="","",'25_DIAPHRAGM'!C44)</x:f>
      </x:c>
      <x:c r="E15" s="408" t="str">
        <x:v>in</x:v>
      </x:c>
      <x:c r="F15" s="408" t="str">
        <x:v>SDPWS Table 4.2.3</x:v>
      </x:c>
      <x:c r="G15" s="408" t="str">
        <x:v>Σ(xΔc) term</x:v>
      </x:c>
      <x:c r="H15" s="408" t="str">
        <x:f>IF(D15="","PENDING","OK")</x:f>
        <x:v>PENDING</x:v>
      </x:c>
    </x:row>
    <x:row r="16">
      <x:c r="B16" s="408" t="str">
        <x:v>11</x:v>
      </x:c>
      <x:c r="C16" s="408" t="str">
        <x:v>Total deflection</x:v>
      </x:c>
      <x:c r="D16" s="418" t="str">
        <x:f>IF('25_DIAPHRAGM'!C45="","",'25_DIAPHRAGM'!C45)</x:f>
      </x:c>
      <x:c r="E16" s="408" t="str">
        <x:v>in</x:v>
      </x:c>
      <x:c r="F16" s="408" t="str">
        <x:v>SDPWS Table 4.2.3</x:v>
      </x:c>
      <x:c r="G16" s="408" t="str">
        <x:v>sum components</x:v>
      </x:c>
      <x:c r="H16" s="408" t="str">
        <x:f>IF(D16="","PENDING","OK")</x:f>
        <x:v>PENDING</x:v>
      </x:c>
    </x:row>
    <x:row r="17">
      <x:c r="B17" s="408" t="str">
        <x:v>12</x:v>
      </x:c>
      <x:c r="C17" s="408" t="str">
        <x:v>Deflection D/C</x:v>
      </x:c>
      <x:c r="D17" s="418" t="str">
        <x:f>IF('25_DIAPHRAGM'!C46="","",'25_DIAPHRAGM'!C46)</x:f>
      </x:c>
      <x:c r="E17" s="408" t="str"/>
      <x:c r="F17" s="408" t="str">
        <x:v>Project/code criterion</x:v>
      </x:c>
      <x:c r="G17" s="408" t="str">
        <x:v>Δ / Δpermitted</x:v>
      </x:c>
      <x:c r="H17" s="408" t="str">
        <x:f>IF(D17="","PENDING","OK")</x:f>
        <x:v>PENDING</x:v>
      </x:c>
    </x:row>
    <x:row r="18">
      <x:c r="B18" s="408" t="str">
        <x:v>13</x:v>
      </x:c>
      <x:c r="C18" s="408" t="str">
        <x:v>Overall module status</x:v>
      </x:c>
      <x:c r="D18" s="418" t="str">
        <x:f>IF('25_DIAPHRAGM'!I13="","",'25_DIAPHRAGM'!I13)</x:f>
        <x:v>PENDING</x:v>
      </x:c>
      <x:c r="E18" s="408" t="str"/>
      <x:c r="F18" s="408" t="str">
        <x:v>25_DIAPHRAGM</x:v>
      </x:c>
      <x:c r="G18" s="408" t="str"/>
      <x:c r="H18" s="408" t="str">
        <x:f>IF(D18="","PENDING","OK")</x:f>
        <x:v>OK</x:v>
      </x:c>
    </x:row>
    <x:row r="21">
      <x:c r="B21" s="409" t="str">
        <x:v>Longhand publication note: this page exposes the project equation path while keeping proprietary tabulated assembly values in their source-controlled records. A reviewer can trace every capacity/stiffness input without the workbook becoming an uncontrolled copy of the standard.</x:v>
      </x:c>
      <x:c r="C21" s="409"/>
      <x:c r="D21" s="409"/>
      <x:c r="E21" s="409"/>
      <x:c r="F21" s="409"/>
      <x:c r="G21" s="409"/>
      <x:c r="H21" s="409"/>
    </x:row>
    <x:row r="22">
      <x:c r="B22" s="409"/>
      <x:c r="C22" s="409"/>
      <x:c r="D22" s="409"/>
      <x:c r="E22" s="409"/>
      <x:c r="F22" s="409"/>
      <x:c r="G22" s="409"/>
      <x:c r="H22" s="409"/>
    </x:row>
    <x:row r="23">
      <x:c r="B23" s="409"/>
      <x:c r="C23" s="409"/>
      <x:c r="D23" s="409"/>
      <x:c r="E23" s="409"/>
      <x:c r="F23" s="409"/>
      <x:c r="G23" s="409"/>
      <x:c r="H23" s="409"/>
    </x:row>
    <x:row r="24">
      <x:c r="B24" s="409"/>
      <x:c r="C24" s="409"/>
      <x:c r="D24" s="409"/>
      <x:c r="E24" s="409"/>
      <x:c r="F24" s="409"/>
      <x:c r="G24" s="409"/>
      <x:c r="H24" s="409"/>
    </x:row>
  </x:sheetData>
  <x:mergeCells>
    <x:mergeCell ref="B2:H2"/>
    <x:mergeCell ref="B21:H24"/>
  </x:mergeCells>
  <x:pageMargins left="0.7" right="0.7" top="0.75" bottom="0.75" header="0.3" footer="0.3"/>
</x:worksheet>
</file>

<file path=xl/worksheets/sheet32.xml><?xml version="1.0" encoding="utf-8"?>
<x:worksheet xmlns:x="http://schemas.openxmlformats.org/spreadsheetml/2006/main">
  <x:sheetFormatPr defaultRowHeight="15"/>
  <x:cols>
    <x:col min="2" max="2" width="32" hidden="0" customWidth="1"/>
    <x:col min="3" max="3" width="20" hidden="0" customWidth="1"/>
    <x:col min="4" max="4" width="12" hidden="0" customWidth="1"/>
    <x:col min="5" max="5" width="42" hidden="0" customWidth="1"/>
    <x:col min="6" max="6" width="12" hidden="0" customWidth="1"/>
    <x:col min="8" max="8" width="25" hidden="0" customWidth="1"/>
    <x:col min="9" max="9" width="14" hidden="0" customWidth="1"/>
    <x:col min="13" max="13" width="18" hidden="0" customWidth="1"/>
    <x:col min="14" max="14" width="44" hidden="0" customWidth="1"/>
    <x:col min="15" max="15" width="16" hidden="0" customWidth="1"/>
    <x:col min="16" max="16" width="16"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441" t="str">
        <x:v>WOOD CONNECTION DESIGN ENGINE — NDS 2024 (ASD)</x:v>
      </x:c>
      <x:c r="C2" s="441"/>
      <x:c r="D2" s="441"/>
      <x:c r="E2" s="441"/>
      <x:c r="F2" s="441"/>
      <x:c r="G2" s="441"/>
      <x:c r="H2" s="441"/>
      <x:c r="I2" s="441"/>
      <x:c r="J2" s="441"/>
      <x:c r="K2" s="140"/>
      <x:c r="L2" s="140"/>
      <x:c r="M2" s="437" t="str">
        <x:v>LOCKED MATH QA BENCHMARKS</x:v>
      </x:c>
      <x:c r="N2" s="437"/>
      <x:c r="O2" s="437"/>
      <x:c r="P2" s="437"/>
      <x:c r="Q2" s="437"/>
      <x:c r="R2" s="437"/>
    </x:row>
    <x:row r="3">
      <x:c r="B3" s="140"/>
      <x:c r="C3" s="140"/>
      <x:c r="D3" s="140"/>
      <x:c r="E3" s="140"/>
      <x:c r="F3" s="140"/>
      <x:c r="G3" s="140"/>
      <x:c r="H3" s="140"/>
      <x:c r="I3" s="140"/>
      <x:c r="J3" s="140"/>
      <x:c r="K3" s="140"/>
      <x:c r="L3" s="140"/>
      <x:c r="M3" s="450" t="str">
        <x:v>Test</x:v>
      </x:c>
      <x:c r="N3" s="450" t="str">
        <x:v>Inputs</x:v>
      </x:c>
      <x:c r="O3" s="450" t="str">
        <x:v>Expected</x:v>
      </x:c>
      <x:c r="P3" s="450" t="str">
        <x:v>Workbook</x:v>
      </x:c>
      <x:c r="Q3" s="450" t="str">
        <x:v>Abs Diff</x:v>
      </x:c>
      <x:c r="R3" s="450" t="str">
        <x:v>Status</x:v>
      </x:c>
    </x:row>
    <x:row r="4" ht="58" customHeight="1">
      <x:c r="B4" s="444" t="str">
        <x:v>Scope: connection demand/capacity and group-action calculation using source-controlled single-fastener allowable values. Single-fastener lateral/withdrawal/head pull-through values are entered from the 2024 NDS AWC Connection Calculator, licensed NDS calculation, evaluation report, or manufacturer source. Spacing, edge/end distance, combined loading, steel/concrete limit states, and installation-specific requirements remain review gates.</x:v>
      </x:c>
      <x:c r="C4" s="444"/>
      <x:c r="D4" s="444"/>
      <x:c r="E4" s="444"/>
      <x:c r="F4" s="444"/>
      <x:c r="G4" s="444"/>
      <x:c r="H4" s="444"/>
      <x:c r="I4" s="444"/>
      <x:c r="J4" s="444"/>
      <x:c r="K4" s="140"/>
      <x:c r="L4" s="140"/>
      <x:c r="M4" s="152" t="str">
        <x:v>CONN-QA-01</x:v>
      </x:c>
      <x:c r="N4" s="152" t="str">
        <x:v>D&lt;1/4 in =&gt; Cg=1</x:v>
      </x:c>
      <x:c r="O4" s="415" t="n">
        <x:v>1</x:v>
      </x:c>
      <x:c r="P4" s="415" t="n">
        <x:f>IF(0.20&lt;0.25,1,0)</x:f>
        <x:v>1</x:v>
      </x:c>
      <x:c r="Q4" s="415" t="n">
        <x:f>ABS(O4-P4)</x:f>
        <x:v>0</x:v>
      </x:c>
      <x:c r="R4" s="152" t="str">
        <x:f>IF(Q4&lt;1E-9,"PASS","FAIL")</x:f>
        <x:v>PASS</x:v>
      </x:c>
    </x:row>
    <x:row r="5">
      <x:c r="B5" s="140"/>
      <x:c r="C5" s="140"/>
      <x:c r="D5" s="140"/>
      <x:c r="E5" s="140"/>
      <x:c r="F5" s="140"/>
      <x:c r="G5" s="140"/>
      <x:c r="H5" s="140"/>
      <x:c r="I5" s="140"/>
      <x:c r="J5" s="140"/>
      <x:c r="K5" s="140"/>
      <x:c r="L5" s="140"/>
      <x:c r="M5" s="152" t="str">
        <x:v>CONN-QA-02</x:v>
      </x:c>
      <x:c r="N5" s="152" t="str">
        <x:v>γ wood-metal, D=.5</x:v>
      </x:c>
      <x:c r="O5" s="415" t="n">
        <x:v>95459.41546018393</x:v>
      </x:c>
      <x:c r="P5" s="415" t="n">
        <x:f>270000*0.5^1.5</x:f>
        <x:v>95459.41546018393</x:v>
      </x:c>
      <x:c r="Q5" s="415" t="n">
        <x:f>ABS(O5-P5)</x:f>
        <x:v>0</x:v>
      </x:c>
      <x:c r="R5" s="152" t="str">
        <x:f>IF(Q5&lt;1E-9,"PASS","FAIL")</x:f>
        <x:v>PASS</x:v>
      </x:c>
    </x:row>
    <x:row r="6">
      <x:c r="B6" s="437" t="str">
        <x:v>CONNECTION / FASTENER BASIS</x:v>
      </x:c>
      <x:c r="C6" s="437"/>
      <x:c r="D6" s="437"/>
      <x:c r="E6" s="437"/>
      <x:c r="F6" s="437"/>
      <x:c r="G6" s="140"/>
      <x:c r="H6" s="437" t="str">
        <x:v>MODULE STATUS</x:v>
      </x:c>
      <x:c r="I6" s="437"/>
      <x:c r="J6" s="437"/>
      <x:c r="K6" s="140"/>
      <x:c r="L6" s="140"/>
      <x:c r="M6" s="152" t="str">
        <x:v>CONN-QA-03</x:v>
      </x:c>
      <x:c r="N6" s="152" t="str">
        <x:v>RE benchmark</x:v>
      </x:c>
      <x:c r="O6" s="415" t="n">
        <x:v>0.2876984126984127</x:v>
      </x:c>
      <x:c r="P6" s="415" t="n">
        <x:f>MIN(29000000*0.25/(1600000*15.75),1600000*15.75/(29000000*0.25))</x:f>
        <x:v>0.2876984126984127</x:v>
      </x:c>
      <x:c r="Q6" s="415" t="n">
        <x:f>ABS(O6-P6)</x:f>
        <x:v>0</x:v>
      </x:c>
      <x:c r="R6" s="152" t="str">
        <x:f>IF(Q6&lt;1E-9,"PASS","FAIL")</x:f>
        <x:v>PASS</x:v>
      </x:c>
    </x:row>
    <x:row r="7">
      <x:c r="B7" s="450" t="str">
        <x:v>Parameter</x:v>
      </x:c>
      <x:c r="C7" s="450" t="str">
        <x:v>Value</x:v>
      </x:c>
      <x:c r="D7" s="450" t="str">
        <x:v>Unit</x:v>
      </x:c>
      <x:c r="E7" s="450" t="str">
        <x:v>Source / Basis</x:v>
      </x:c>
      <x:c r="F7" s="450" t="str">
        <x:v>Status</x:v>
      </x:c>
      <x:c r="G7" s="140"/>
      <x:c r="H7" s="450" t="str">
        <x:v>Input Completeness</x:v>
      </x:c>
      <x:c r="I7" s="450" t="str">
        <x:f>IF(COUNTIF(F8:F27,"MISSING")=0,"READY","PENDING")</x:f>
        <x:v>PENDING</x:v>
      </x:c>
      <x:c r="J7" s="140"/>
      <x:c r="K7" s="140"/>
      <x:c r="L7" s="140"/>
      <x:c r="M7" s="152" t="str">
        <x:v>CONN-QA-04</x:v>
      </x:c>
      <x:c r="N7" s="152" t="str">
        <x:v>Cg benchmark n=4</x:v>
      </x:c>
      <x:c r="O7" s="415" t="n">
        <x:v>0.5372875939986285</x:v>
      </x:c>
      <x:c r="P7" s="415" t="n">
        <x:f>(0.7712894705998798*(1-0.7712894705998798^4)/(4*((1+0.2876984126984127*0.7712894705998798^4)*(1+0.7712894705998798)-1+0.7712894705998798^4)))*((1+0.2876984126984127)/(1-0.7712894705998798))</x:f>
        <x:v>0.5372875939986285</x:v>
      </x:c>
      <x:c r="Q7" s="415" t="n">
        <x:f>ABS(O7-P7)</x:f>
        <x:v>0</x:v>
      </x:c>
      <x:c r="R7" s="152" t="str">
        <x:f>IF(Q7&lt;1E-9,"PASS","FAIL")</x:f>
        <x:v>PASS</x:v>
      </x:c>
    </x:row>
    <x:row r="8">
      <x:c r="B8" s="152" t="str">
        <x:v>Connection Mark</x:v>
      </x:c>
      <x:c r="C8" s="152" t="str">
        <x:f>IF('01_INPUTS'!C212="","",'01_INPUTS'!C212)</x:f>
      </x:c>
      <x:c r="D8" s="152" t="str"/>
      <x:c r="E8" s="152" t="str">
        <x:v>01_INPUTS</x:v>
      </x:c>
      <x:c r="F8" s="152" t="str">
        <x:f>IF(C8="","MISSING","OK")</x:f>
        <x:v>MISSING</x:v>
      </x:c>
      <x:c r="G8" s="140"/>
      <x:c r="H8" s="450" t="str">
        <x:v>Group Action</x:v>
      </x:c>
      <x:c r="I8" s="450" t="str">
        <x:f>IF(C37="","PENDING",IF(C37="REVIEW","REVIEW","PASS"))</x:f>
        <x:v>PASS</x:v>
      </x:c>
      <x:c r="J8" s="140"/>
      <x:c r="K8" s="140"/>
      <x:c r="L8" s="140"/>
      <x:c r="M8" s="152" t="str">
        <x:v>CONN-QA-05</x:v>
      </x:c>
      <x:c r="N8" s="152" t="str">
        <x:v>Lateral capacity 500×4×Cg×.9</x:v>
      </x:c>
      <x:c r="O8" s="415" t="n">
        <x:v>967.1176691975313</x:v>
      </x:c>
      <x:c r="P8" s="415" t="n">
        <x:f>500*4*0.5372875939986285*0.9</x:f>
        <x:v>967.1176691975313</x:v>
      </x:c>
      <x:c r="Q8" s="415" t="n">
        <x:f>ABS(O8-P8)</x:f>
        <x:v>0</x:v>
      </x:c>
      <x:c r="R8" s="152" t="str">
        <x:f>IF(Q8&lt;1E-9,"PASS","FAIL")</x:f>
        <x:v>PASS</x:v>
      </x:c>
    </x:row>
    <x:row r="9">
      <x:c r="B9" s="152" t="str">
        <x:v>Connection Use</x:v>
      </x:c>
      <x:c r="C9" s="152" t="str">
        <x:f>IF('01_INPUTS'!C213="","",'01_INPUTS'!C213)</x:f>
      </x:c>
      <x:c r="D9" s="152" t="str"/>
      <x:c r="E9" s="152" t="str">
        <x:v>01_INPUTS</x:v>
      </x:c>
      <x:c r="F9" s="152" t="str">
        <x:f>IF(C9="","MISSING","OK")</x:f>
        <x:v>MISSING</x:v>
      </x:c>
      <x:c r="G9" s="140"/>
      <x:c r="H9" s="450" t="str">
        <x:v>Lateral</x:v>
      </x:c>
      <x:c r="I9" s="450" t="str">
        <x:f>IF(C43="","PENDING",IF(C43&lt;=1,"PASS","FAIL"))</x:f>
        <x:v>PENDING</x:v>
      </x:c>
      <x:c r="J9" s="140"/>
      <x:c r="K9" s="140"/>
      <x:c r="L9" s="140"/>
      <x:c r="M9" s="152" t="str">
        <x:v>CONN-QA-06</x:v>
      </x:c>
      <x:c r="N9" s="152" t="str">
        <x:v>Withdrawal min(350,300)×4</x:v>
      </x:c>
      <x:c r="O9" s="415" t="n">
        <x:v>1200</x:v>
      </x:c>
      <x:c r="P9" s="415" t="n">
        <x:f>MIN(350,300)*4</x:f>
        <x:v>1200</x:v>
      </x:c>
      <x:c r="Q9" s="415" t="n">
        <x:f>ABS(O9-P9)</x:f>
        <x:v>0</x:v>
      </x:c>
      <x:c r="R9" s="152" t="str">
        <x:f>IF(Q9&lt;1E-9,"PASS","FAIL")</x:f>
        <x:v>PASS</x:v>
      </x:c>
    </x:row>
    <x:row r="10">
      <x:c r="B10" s="152" t="str">
        <x:v>Material Pair</x:v>
      </x:c>
      <x:c r="C10" s="152" t="str">
        <x:f>IF('01_INPUTS'!C214="","",'01_INPUTS'!C214)</x:f>
      </x:c>
      <x:c r="D10" s="152" t="str"/>
      <x:c r="E10" s="152" t="str">
        <x:v>01_INPUTS</x:v>
      </x:c>
      <x:c r="F10" s="152" t="str">
        <x:f>IF(C10="","MISSING","OK")</x:f>
        <x:v>MISSING</x:v>
      </x:c>
      <x:c r="G10" s="140"/>
      <x:c r="H10" s="450" t="str">
        <x:v>Withdrawal</x:v>
      </x:c>
      <x:c r="I10" s="450" t="str">
        <x:f>IF(C46="","PENDING",IF(C46&lt;=1,"PASS","FAIL"))</x:f>
        <x:v>PENDING</x:v>
      </x:c>
      <x:c r="J10" s="140"/>
      <x:c r="K10" s="140"/>
      <x:c r="L10" s="140"/>
      <x:c r="M10" s="152" t="str">
        <x:v>CONN-QA-07</x:v>
      </x:c>
      <x:c r="N10" s="152" t="str">
        <x:v>Utilization 700/967.1177</x:v>
      </x:c>
      <x:c r="O10" s="415" t="n">
        <x:v>0.7238002388900898</x:v>
      </x:c>
      <x:c r="P10" s="415" t="n">
        <x:f>700/967.1176691975313</x:f>
        <x:v>0.7238002388900898</x:v>
      </x:c>
      <x:c r="Q10" s="415" t="n">
        <x:f>ABS(O10-P10)</x:f>
        <x:v>0</x:v>
      </x:c>
      <x:c r="R10" s="152" t="str">
        <x:f>IF(Q10&lt;1E-9,"PASS","FAIL")</x:f>
        <x:v>PASS</x:v>
      </x:c>
    </x:row>
    <x:row r="11">
      <x:c r="B11" s="152" t="str">
        <x:v>Fastener Type</x:v>
      </x:c>
      <x:c r="C11" s="152" t="str">
        <x:f>IF('01_INPUTS'!C215="","",'01_INPUTS'!C215)</x:f>
      </x:c>
      <x:c r="D11" s="152" t="str"/>
      <x:c r="E11" s="152" t="str">
        <x:v>01_INPUTS</x:v>
      </x:c>
      <x:c r="F11" s="152" t="str">
        <x:f>IF(C11="","MISSING","OK")</x:f>
        <x:v>MISSING</x:v>
      </x:c>
      <x:c r="G11" s="140"/>
      <x:c r="H11" s="450" t="str">
        <x:v>Special Review Gates</x:v>
      </x:c>
      <x:c r="I11" s="450" t="str">
        <x:f>IF(OR(C12="COMBINED",C10="OTHER"),"REVIEW","REVIEW")</x:f>
        <x:v>REVIEW</x:v>
      </x:c>
      <x:c r="J11" s="140"/>
      <x:c r="K11" s="140"/>
      <x:c r="L11" s="140"/>
      <x:c r="M11" s="152"/>
      <x:c r="N11" s="152"/>
      <x:c r="O11" s="152"/>
      <x:c r="P11" s="152"/>
      <x:c r="Q11" s="152"/>
      <x:c r="R11" s="152"/>
    </x:row>
    <x:row r="12">
      <x:c r="B12" s="152" t="str">
        <x:v>Load Mode</x:v>
      </x:c>
      <x:c r="C12" s="152" t="str">
        <x:f>IF('01_INPUTS'!C216="","",'01_INPUTS'!C216)</x:f>
      </x:c>
      <x:c r="D12" s="152" t="str"/>
      <x:c r="E12" s="152" t="str">
        <x:v>01_INPUTS</x:v>
      </x:c>
      <x:c r="F12" s="152" t="str">
        <x:f>IF(C12="","MISSING","OK")</x:f>
        <x:v>MISSING</x:v>
      </x:c>
      <x:c r="G12" s="140"/>
      <x:c r="H12" s="450" t="str">
        <x:v>Math Cross-Checks</x:v>
      </x:c>
      <x:c r="I12" s="450" t="str">
        <x:f>IF(R12="PASS","PASS","CHECK")</x:f>
        <x:v>PASS</x:v>
      </x:c>
      <x:c r="J12" s="140"/>
      <x:c r="K12" s="140"/>
      <x:c r="L12" s="140"/>
      <x:c r="M12" s="152" t="str">
        <x:v>Benchmark Overall</x:v>
      </x:c>
      <x:c r="N12" s="152" t="str"/>
      <x:c r="O12" s="152" t="str"/>
      <x:c r="P12" s="152" t="str"/>
      <x:c r="Q12" s="152" t="str"/>
      <x:c r="R12" s="152" t="str">
        <x:f>IF(COUNTIF(R4:R10,"FAIL")=0,"PASS","FAIL")</x:f>
        <x:v>PASS</x:v>
      </x:c>
    </x:row>
    <x:row r="13">
      <x:c r="B13" s="152" t="str">
        <x:v>Lateral Demand V</x:v>
      </x:c>
      <x:c r="C13" s="152" t="str">
        <x:f>IF('01_INPUTS'!C217="","",'01_INPUTS'!C217)</x:f>
      </x:c>
      <x:c r="D13" s="152" t="str">
        <x:v>lb</x:v>
      </x:c>
      <x:c r="E13" s="152" t="str">
        <x:v>Load path</x:v>
      </x:c>
      <x:c r="F13" s="152" t="str">
        <x:f>IF(C13="","MISSING","OK")</x:f>
        <x:v>MISSING</x:v>
      </x:c>
      <x:c r="G13" s="140"/>
      <x:c r="H13" s="450" t="str">
        <x:v>Overall</x:v>
      </x:c>
      <x:c r="I13" s="450" t="str">
        <x:f>IF(OR(I7="PENDING",I9="PENDING",I10="PENDING"),"PENDING",IF(OR(I9="FAIL",I10="FAIL"),"FAIL","REVIEW"))</x:f>
        <x:v>PENDING</x:v>
      </x:c>
      <x:c r="J13" s="140"/>
      <x:c r="K13" s="140"/>
      <x:c r="L13" s="140"/>
      <x:c r="M13" s="140"/>
      <x:c r="N13" s="140"/>
      <x:c r="O13" s="140"/>
      <x:c r="P13" s="140"/>
      <x:c r="Q13" s="140"/>
      <x:c r="R13" s="140"/>
    </x:row>
    <x:row r="14">
      <x:c r="B14" s="152" t="str">
        <x:v>Withdrawal Demand T</x:v>
      </x:c>
      <x:c r="C14" s="152" t="str">
        <x:f>IF('01_INPUTS'!C218="","",'01_INPUTS'!C218)</x:f>
      </x:c>
      <x:c r="D14" s="152" t="str">
        <x:v>lb</x:v>
      </x:c>
      <x:c r="E14" s="152" t="str">
        <x:v>Load path</x:v>
      </x:c>
      <x:c r="F14" s="152" t="str">
        <x:f>IF(C14="","MISSING","OK")</x:f>
        <x:v>MISSING</x:v>
      </x:c>
      <x:c r="G14" s="140"/>
      <x:c r="H14" s="140"/>
      <x:c r="I14" s="140"/>
      <x:c r="J14" s="140"/>
      <x:c r="K14" s="140"/>
      <x:c r="L14" s="140"/>
      <x:c r="M14" s="444" t="str">
        <x:v>QA note: arithmetic benchmarks validate the group-action and capacity aggregation implementation. The project still requires a valid single-fastener capacity from the current NDS/AWC calculator or an approved product/evaluation source and review of all geometry/applicability provisions.</x:v>
      </x:c>
      <x:c r="N14" s="444"/>
      <x:c r="O14" s="444"/>
      <x:c r="P14" s="444"/>
      <x:c r="Q14" s="444"/>
      <x:c r="R14" s="444"/>
    </x:row>
    <x:row r="15">
      <x:c r="B15" s="152" t="str">
        <x:v>Fastener Diameter D</x:v>
      </x:c>
      <x:c r="C15" s="152" t="str">
        <x:f>IF('01_INPUTS'!C219="","",'01_INPUTS'!C219)</x:f>
      </x:c>
      <x:c r="D15" s="152" t="str">
        <x:v>in</x:v>
      </x:c>
      <x:c r="E15" s="152" t="str">
        <x:v>Fastener specification</x:v>
      </x:c>
      <x:c r="F15" s="152" t="str">
        <x:f>IF(C15="","MISSING","OK")</x:f>
        <x:v>MISSING</x:v>
      </x:c>
      <x:c r="G15" s="140"/>
      <x:c r="H15" s="140"/>
      <x:c r="I15" s="140"/>
      <x:c r="J15" s="140"/>
      <x:c r="K15" s="140"/>
      <x:c r="L15" s="140"/>
      <x:c r="M15" s="444"/>
      <x:c r="N15" s="444"/>
      <x:c r="O15" s="444"/>
      <x:c r="P15" s="444"/>
      <x:c r="Q15" s="444"/>
      <x:c r="R15" s="444"/>
    </x:row>
    <x:row r="16">
      <x:c r="B16" s="152" t="str">
        <x:v>Fasteners in Row n</x:v>
      </x:c>
      <x:c r="C16" s="152" t="str">
        <x:f>IF('01_INPUTS'!C220="","",'01_INPUTS'!C220)</x:f>
      </x:c>
      <x:c r="D16" s="152" t="str">
        <x:v>count</x:v>
      </x:c>
      <x:c r="E16" s="152" t="str">
        <x:v>Connection layout</x:v>
      </x:c>
      <x:c r="F16" s="152" t="str">
        <x:f>IF(C16="","MISSING","OK")</x:f>
        <x:v>MISSING</x:v>
      </x:c>
      <x:c r="G16" s="140"/>
      <x:c r="H16" s="140"/>
      <x:c r="I16" s="140"/>
      <x:c r="J16" s="140"/>
      <x:c r="K16" s="140"/>
      <x:c r="L16" s="140"/>
      <x:c r="M16" s="444"/>
      <x:c r="N16" s="444"/>
      <x:c r="O16" s="444"/>
      <x:c r="P16" s="444"/>
      <x:c r="Q16" s="444"/>
      <x:c r="R16" s="444"/>
    </x:row>
    <x:row r="17">
      <x:c r="B17" s="152" t="str">
        <x:v>Fastener Spacing s</x:v>
      </x:c>
      <x:c r="C17" s="152" t="str">
        <x:f>IF('01_INPUTS'!C221="","",'01_INPUTS'!C221)</x:f>
      </x:c>
      <x:c r="D17" s="152" t="str">
        <x:v>in</x:v>
      </x:c>
      <x:c r="E17" s="152" t="str">
        <x:v>Connection layout</x:v>
      </x:c>
      <x:c r="F17" s="152" t="str">
        <x:f>IF(C17="","MISSING","OK")</x:f>
        <x:v>MISSING</x:v>
      </x:c>
      <x:c r="G17" s="140"/>
      <x:c r="H17" s="140"/>
      <x:c r="I17" s="140"/>
      <x:c r="J17" s="140"/>
      <x:c r="K17" s="140"/>
      <x:c r="L17" s="140"/>
      <x:c r="M17" s="140"/>
      <x:c r="N17" s="140"/>
      <x:c r="O17" s="140"/>
      <x:c r="P17" s="140"/>
      <x:c r="Q17" s="140"/>
      <x:c r="R17" s="140"/>
    </x:row>
    <x:row r="18">
      <x:c r="B18" s="152" t="str">
        <x:v>Main Member E</x:v>
      </x:c>
      <x:c r="C18" s="152" t="str">
        <x:f>IF('01_INPUTS'!C222="","",'01_INPUTS'!C222)</x:f>
      </x:c>
      <x:c r="D18" s="152" t="str">
        <x:v>psi</x:v>
      </x:c>
      <x:c r="E18" s="152" t="str">
        <x:v>NDS/material source</x:v>
      </x:c>
      <x:c r="F18" s="152" t="str">
        <x:f>IF(C18="","MISSING","OK")</x:f>
        <x:v>MISSING</x:v>
      </x:c>
      <x:c r="G18" s="140"/>
      <x:c r="H18" s="140"/>
      <x:c r="I18" s="140"/>
      <x:c r="J18" s="140"/>
      <x:c r="K18" s="140"/>
      <x:c r="L18" s="140"/>
      <x:c r="M18" s="140"/>
      <x:c r="N18" s="140"/>
      <x:c r="O18" s="140"/>
      <x:c r="P18" s="140"/>
      <x:c r="Q18" s="140"/>
      <x:c r="R18" s="140"/>
    </x:row>
    <x:row r="19">
      <x:c r="B19" s="152" t="str">
        <x:v>Main Member Area Am</x:v>
      </x:c>
      <x:c r="C19" s="152" t="str">
        <x:f>IF('01_INPUTS'!C223="","",'01_INPUTS'!C223)</x:f>
      </x:c>
      <x:c r="D19" s="152" t="str">
        <x:v>in²</x:v>
      </x:c>
      <x:c r="E19" s="152" t="str">
        <x:v>Member geometry</x:v>
      </x:c>
      <x:c r="F19" s="152" t="str">
        <x:f>IF(C19="","MISSING","OK")</x:f>
        <x:v>MISSING</x:v>
      </x:c>
      <x:c r="G19" s="140"/>
      <x:c r="H19" s="140"/>
      <x:c r="I19" s="140"/>
      <x:c r="J19" s="140"/>
      <x:c r="K19" s="140"/>
      <x:c r="L19" s="140"/>
      <x:c r="M19" s="140"/>
      <x:c r="N19" s="140"/>
      <x:c r="O19" s="140"/>
      <x:c r="P19" s="140"/>
      <x:c r="Q19" s="140"/>
      <x:c r="R19" s="140"/>
    </x:row>
    <x:row r="20">
      <x:c r="B20" s="152" t="str">
        <x:v>Side Member E</x:v>
      </x:c>
      <x:c r="C20" s="152" t="str">
        <x:f>IF('01_INPUTS'!C224="","",'01_INPUTS'!C224)</x:f>
      </x:c>
      <x:c r="D20" s="152" t="str">
        <x:v>psi</x:v>
      </x:c>
      <x:c r="E20" s="152" t="str">
        <x:v>Material source</x:v>
      </x:c>
      <x:c r="F20" s="152" t="str">
        <x:f>IF(C20="","MISSING","OK")</x:f>
        <x:v>MISSING</x:v>
      </x:c>
      <x:c r="G20" s="140"/>
      <x:c r="H20" s="140"/>
      <x:c r="I20" s="140"/>
      <x:c r="J20" s="140"/>
      <x:c r="K20" s="140"/>
      <x:c r="L20" s="140"/>
      <x:c r="M20" s="140"/>
      <x:c r="N20" s="140"/>
      <x:c r="O20" s="140"/>
      <x:c r="P20" s="140"/>
      <x:c r="Q20" s="140"/>
      <x:c r="R20" s="140"/>
    </x:row>
    <x:row r="21">
      <x:c r="B21" s="152" t="str">
        <x:v>Side Member Area As</x:v>
      </x:c>
      <x:c r="C21" s="152" t="str">
        <x:f>IF('01_INPUTS'!C225="","",'01_INPUTS'!C225)</x:f>
      </x:c>
      <x:c r="D21" s="152" t="str">
        <x:v>in²</x:v>
      </x:c>
      <x:c r="E21" s="152" t="str">
        <x:v>Member geometry</x:v>
      </x:c>
      <x:c r="F21" s="152" t="str">
        <x:f>IF(C21="","MISSING","OK")</x:f>
        <x:v>MISSING</x:v>
      </x:c>
      <x:c r="G21" s="140"/>
      <x:c r="H21" s="140"/>
      <x:c r="I21" s="140"/>
      <x:c r="J21" s="140"/>
      <x:c r="K21" s="140"/>
      <x:c r="L21" s="140"/>
      <x:c r="M21" s="140"/>
      <x:c r="N21" s="140"/>
      <x:c r="O21" s="140"/>
      <x:c r="P21" s="140"/>
      <x:c r="Q21" s="140"/>
      <x:c r="R21" s="140"/>
    </x:row>
    <x:row r="22">
      <x:c r="B22" s="152" t="str">
        <x:v>Single-Fastener Lateral Z′</x:v>
      </x:c>
      <x:c r="C22" s="152" t="str">
        <x:f>IF('01_INPUTS'!C226="","",'01_INPUTS'!C226)</x:f>
      </x:c>
      <x:c r="D22" s="152" t="str">
        <x:v>lb</x:v>
      </x:c>
      <x:c r="E22" s="152" t="str">
        <x:v>AWC calculator / approved source</x:v>
      </x:c>
      <x:c r="F22" s="152" t="str">
        <x:f>IF(C22="","MISSING","OK")</x:f>
        <x:v>MISSING</x:v>
      </x:c>
      <x:c r="G22" s="140"/>
      <x:c r="H22" s="140"/>
      <x:c r="I22" s="140"/>
      <x:c r="J22" s="140"/>
      <x:c r="K22" s="140"/>
      <x:c r="L22" s="140"/>
      <x:c r="M22" s="140"/>
      <x:c r="N22" s="140"/>
      <x:c r="O22" s="140"/>
      <x:c r="P22" s="140"/>
      <x:c r="Q22" s="140"/>
      <x:c r="R22" s="140"/>
    </x:row>
    <x:row r="23">
      <x:c r="B23" s="152" t="str">
        <x:v>Single-Fastener Withdrawal W′</x:v>
      </x:c>
      <x:c r="C23" s="152" t="str">
        <x:f>IF('01_INPUTS'!C227="","",'01_INPUTS'!C227)</x:f>
      </x:c>
      <x:c r="D23" s="152" t="str">
        <x:v>lb</x:v>
      </x:c>
      <x:c r="E23" s="152" t="str">
        <x:v>AWC calculator / approved source</x:v>
      </x:c>
      <x:c r="F23" s="152" t="str">
        <x:f>IF(C23="","MISSING","OK")</x:f>
        <x:v>MISSING</x:v>
      </x:c>
      <x:c r="G23" s="140"/>
      <x:c r="H23" s="140"/>
      <x:c r="I23" s="140"/>
      <x:c r="J23" s="140"/>
      <x:c r="K23" s="140"/>
      <x:c r="L23" s="140"/>
      <x:c r="M23" s="140"/>
      <x:c r="N23" s="140"/>
      <x:c r="O23" s="140"/>
      <x:c r="P23" s="140"/>
      <x:c r="Q23" s="140"/>
      <x:c r="R23" s="140"/>
    </x:row>
    <x:row r="24">
      <x:c r="B24" s="152" t="str">
        <x:v>Head Pull-Through Pt′</x:v>
      </x:c>
      <x:c r="C24" s="152" t="str">
        <x:f>IF('01_INPUTS'!C228="","",'01_INPUTS'!C228)</x:f>
      </x:c>
      <x:c r="D24" s="152" t="str">
        <x:v>lb</x:v>
      </x:c>
      <x:c r="E24" s="152" t="str">
        <x:v>AWC calculator / approved source</x:v>
      </x:c>
      <x:c r="F24" s="152" t="str">
        <x:f>IF(C24="","MISSING","OK")</x:f>
        <x:v>MISSING</x:v>
      </x:c>
      <x:c r="G24" s="140"/>
      <x:c r="H24" s="140"/>
      <x:c r="I24" s="140"/>
      <x:c r="J24" s="140"/>
      <x:c r="K24" s="140"/>
      <x:c r="L24" s="140"/>
      <x:c r="M24" s="140"/>
      <x:c r="N24" s="140"/>
      <x:c r="O24" s="140"/>
      <x:c r="P24" s="140"/>
      <x:c r="Q24" s="140"/>
      <x:c r="R24" s="140"/>
    </x:row>
    <x:row r="25">
      <x:c r="B25" s="152" t="str">
        <x:v>Other Factor Cother</x:v>
      </x:c>
      <x:c r="C25" s="152" t="str">
        <x:f>IF('01_INPUTS'!C229="","",'01_INPUTS'!C229)</x:f>
      </x:c>
      <x:c r="D25" s="152" t="str"/>
      <x:c r="E25" s="152" t="str">
        <x:v>Controlled sourced factor</x:v>
      </x:c>
      <x:c r="F25" s="152" t="str">
        <x:f>IF(C25="","MISSING","OK")</x:f>
        <x:v>MISSING</x:v>
      </x:c>
      <x:c r="G25" s="140"/>
      <x:c r="H25" s="140"/>
      <x:c r="I25" s="140"/>
      <x:c r="J25" s="140"/>
      <x:c r="K25" s="140"/>
      <x:c r="L25" s="140"/>
      <x:c r="M25" s="140"/>
      <x:c r="N25" s="140"/>
      <x:c r="O25" s="140"/>
      <x:c r="P25" s="140"/>
      <x:c r="Q25" s="140"/>
      <x:c r="R25" s="140"/>
    </x:row>
    <x:row r="26">
      <x:c r="B26" s="152" t="str">
        <x:v>Capacity Source Record</x:v>
      </x:c>
      <x:c r="C26" s="152" t="str">
        <x:f>IF('01_INPUTS'!C230="","",'01_INPUTS'!C230)</x:f>
      </x:c>
      <x:c r="D26" s="152" t="str"/>
      <x:c r="E26" s="152" t="str">
        <x:v>Source register</x:v>
      </x:c>
      <x:c r="F26" s="152" t="str">
        <x:f>IF(C26="","MISSING","OK")</x:f>
        <x:v>MISSING</x:v>
      </x:c>
      <x:c r="G26" s="140"/>
      <x:c r="H26" s="140"/>
      <x:c r="I26" s="140"/>
      <x:c r="J26" s="140"/>
      <x:c r="K26" s="140"/>
      <x:c r="L26" s="140"/>
      <x:c r="M26" s="140"/>
      <x:c r="N26" s="140"/>
      <x:c r="O26" s="140"/>
      <x:c r="P26" s="140"/>
      <x:c r="Q26" s="140"/>
      <x:c r="R26" s="140"/>
    </x:row>
    <x:row r="27">
      <x:c r="B27" s="152" t="str">
        <x:v>Review Notes</x:v>
      </x:c>
      <x:c r="C27" s="152" t="str">
        <x:f>IF('01_INPUTS'!C231="","",'01_INPUTS'!C231)</x:f>
      </x:c>
      <x:c r="D27" s="152" t="str"/>
      <x:c r="E27" s="152" t="str">
        <x:v>Engineer review</x:v>
      </x:c>
      <x:c r="F27" s="152" t="str">
        <x:f>IF(C27="","MISSING","OK")</x:f>
        <x:v>MISSING</x:v>
      </x:c>
      <x:c r="G27" s="140"/>
      <x:c r="H27" s="140"/>
      <x:c r="I27" s="140"/>
      <x:c r="J27" s="140"/>
      <x:c r="K27" s="140"/>
      <x:c r="L27" s="140"/>
      <x:c r="M27" s="140"/>
      <x:c r="N27" s="140"/>
      <x:c r="O27" s="140"/>
      <x:c r="P27" s="140"/>
      <x:c r="Q27" s="140"/>
      <x:c r="R27" s="140"/>
    </x:row>
    <x:row r="28">
      <x:c r="B28" s="140"/>
      <x:c r="C28" s="140"/>
      <x:c r="D28" s="140"/>
      <x:c r="E28" s="140"/>
      <x:c r="F28" s="140"/>
      <x:c r="G28" s="140"/>
      <x:c r="H28" s="140"/>
      <x:c r="I28" s="140"/>
      <x:c r="J28" s="140"/>
      <x:c r="K28" s="140"/>
      <x:c r="L28" s="140"/>
      <x:c r="M28" s="140"/>
      <x:c r="N28" s="140"/>
      <x:c r="O28" s="140"/>
      <x:c r="P28" s="140"/>
      <x:c r="Q28" s="140"/>
      <x:c r="R28" s="140"/>
    </x:row>
    <x:row r="29">
      <x:c r="B29" s="140"/>
      <x:c r="C29" s="140"/>
      <x:c r="D29" s="140"/>
      <x:c r="E29" s="140"/>
      <x:c r="F29" s="140"/>
      <x:c r="G29" s="140"/>
      <x:c r="H29" s="140"/>
      <x:c r="I29" s="140"/>
      <x:c r="J29" s="140"/>
      <x:c r="K29" s="140"/>
      <x:c r="L29" s="140"/>
      <x:c r="M29" s="140"/>
      <x:c r="N29" s="140"/>
      <x:c r="O29" s="140"/>
      <x:c r="P29" s="140"/>
      <x:c r="Q29" s="140"/>
      <x:c r="R29" s="140"/>
    </x:row>
    <x:row r="30">
      <x:c r="B30" s="437" t="str">
        <x:v>NDS GROUP-ACTION FACTOR — PUBLIC ERRATA EQUATION</x:v>
      </x:c>
      <x:c r="C30" s="437"/>
      <x:c r="D30" s="437"/>
      <x:c r="E30" s="437"/>
      <x:c r="F30" s="437"/>
      <x:c r="G30" s="140"/>
      <x:c r="H30" s="140"/>
      <x:c r="I30" s="140"/>
      <x:c r="J30" s="140"/>
      <x:c r="K30" s="140"/>
      <x:c r="L30" s="140"/>
      <x:c r="M30" s="140"/>
      <x:c r="N30" s="140"/>
      <x:c r="O30" s="140"/>
      <x:c r="P30" s="140"/>
      <x:c r="Q30" s="140"/>
      <x:c r="R30" s="140"/>
    </x:row>
    <x:row r="31">
      <x:c r="B31" s="450" t="str">
        <x:v>Parameter</x:v>
      </x:c>
      <x:c r="C31" s="450" t="str">
        <x:v>Result</x:v>
      </x:c>
      <x:c r="D31" s="450" t="str">
        <x:v>Unit</x:v>
      </x:c>
      <x:c r="E31" s="450" t="str">
        <x:v>Equation / Basis</x:v>
      </x:c>
      <x:c r="F31" s="140"/>
      <x:c r="G31" s="140"/>
      <x:c r="H31" s="140"/>
      <x:c r="I31" s="140"/>
      <x:c r="J31" s="140"/>
      <x:c r="K31" s="140"/>
      <x:c r="L31" s="140"/>
      <x:c r="M31" s="140"/>
      <x:c r="N31" s="140"/>
      <x:c r="O31" s="140"/>
      <x:c r="P31" s="140"/>
      <x:c r="Q31" s="140"/>
      <x:c r="R31" s="140"/>
    </x:row>
    <x:row r="32">
      <x:c r="B32" s="152" t="str">
        <x:v>Load/Slip Modulus γ</x:v>
      </x:c>
      <x:c r="C32" s="415" t="n">
        <x:f>IF(C15&lt;0.25,0,IF(C10="WOOD-WOOD",180000*C15^1.5,IF(C10="WOOD-METAL",270000*C15^1.5,"")))</x:f>
        <x:v>0</x:v>
      </x:c>
      <x:c r="D32" s="152" t="str">
        <x:v>lb/in</x:v>
      </x:c>
      <x:c r="E32" s="152" t="str">
        <x:v>2024 NDS Errata §11.3.6.1</x:v>
      </x:c>
      <x:c r="F32" s="140"/>
      <x:c r="G32" s="140"/>
      <x:c r="H32" s="140"/>
      <x:c r="I32" s="140"/>
      <x:c r="J32" s="140"/>
      <x:c r="K32" s="140"/>
      <x:c r="L32" s="140"/>
      <x:c r="M32" s="140"/>
      <x:c r="N32" s="140"/>
      <x:c r="O32" s="140"/>
      <x:c r="P32" s="140"/>
      <x:c r="Q32" s="140"/>
      <x:c r="R32" s="140"/>
    </x:row>
    <x:row r="33">
      <x:c r="B33" s="152" t="str">
        <x:v>Stiffness Ratio RE</x:v>
      </x:c>
      <x:c r="C33" s="415" t="str">
        <x:f>IFERROR(MIN(C20*C21/(C18*C19),C18*C19/(C20*C21)),"")</x:f>
      </x:c>
      <x:c r="D33" s="152" t="str"/>
      <x:c r="E33" s="152" t="str">
        <x:v>lesser EsAs/EmAm or reciprocal</x:v>
      </x:c>
      <x:c r="F33" s="140"/>
      <x:c r="G33" s="140"/>
      <x:c r="H33" s="140"/>
      <x:c r="I33" s="140"/>
      <x:c r="J33" s="140"/>
      <x:c r="K33" s="140"/>
      <x:c r="L33" s="140"/>
      <x:c r="M33" s="140"/>
      <x:c r="N33" s="140"/>
      <x:c r="O33" s="140"/>
      <x:c r="P33" s="140"/>
      <x:c r="Q33" s="140"/>
      <x:c r="R33" s="140"/>
    </x:row>
    <x:row r="34">
      <x:c r="B34" s="152" t="str">
        <x:v>u</x:v>
      </x:c>
      <x:c r="C34" s="415" t="str">
        <x:f>IFERROR(1+C32*C17/2*(1/(C18*C19)+1/(C20*C21)),"")</x:f>
      </x:c>
      <x:c r="D34" s="152" t="str"/>
      <x:c r="E34" s="152" t="str">
        <x:v>NDS group-action equation</x:v>
      </x:c>
      <x:c r="F34" s="140"/>
      <x:c r="G34" s="140"/>
      <x:c r="H34" s="140"/>
      <x:c r="I34" s="140"/>
      <x:c r="J34" s="140"/>
      <x:c r="K34" s="140"/>
      <x:c r="L34" s="140"/>
      <x:c r="M34" s="140"/>
      <x:c r="N34" s="140"/>
      <x:c r="O34" s="140"/>
      <x:c r="P34" s="140"/>
      <x:c r="Q34" s="140"/>
      <x:c r="R34" s="140"/>
    </x:row>
    <x:row r="35">
      <x:c r="B35" s="152" t="str">
        <x:v>m</x:v>
      </x:c>
      <x:c r="C35" s="415" t="str">
        <x:f>IFERROR(C34-SQRT(C34^2-1),"")</x:f>
      </x:c>
      <x:c r="D35" s="152" t="str"/>
      <x:c r="E35" s="152" t="str">
        <x:v>u − √(u²−1)</x:v>
      </x:c>
      <x:c r="F35" s="140"/>
      <x:c r="G35" s="140"/>
      <x:c r="H35" s="140"/>
      <x:c r="I35" s="140"/>
      <x:c r="J35" s="140"/>
      <x:c r="K35" s="140"/>
      <x:c r="L35" s="140"/>
      <x:c r="M35" s="140"/>
      <x:c r="N35" s="140"/>
      <x:c r="O35" s="140"/>
      <x:c r="P35" s="140"/>
      <x:c r="Q35" s="140"/>
      <x:c r="R35" s="140"/>
    </x:row>
    <x:row r="36">
      <x:c r="B36" s="152" t="str">
        <x:v>Calculated Cg</x:v>
      </x:c>
      <x:c r="C36" s="415" t="str">
        <x:f>IF(C15="","",IF(C15&lt;0.25,1,IF(C16&lt;=1,1,IF(OR(C10="WOOD-WOOD",C10="WOOD-METAL"),IFERROR((C35*(1-C35^C16)/(C16*((1+C33*C35^C16)*(1+C35)-1+C35^C16)))*((1+C33)/(1-C35)),""),"REVIEW"))))</x:f>
      </x:c>
      <x:c r="D36" s="152" t="str"/>
      <x:c r="E36" s="152" t="str">
        <x:v>2024 NDS Errata Eq. 11.3-1</x:v>
      </x:c>
      <x:c r="F36" s="140"/>
      <x:c r="G36" s="140"/>
      <x:c r="H36" s="140"/>
      <x:c r="I36" s="140"/>
      <x:c r="J36" s="140"/>
      <x:c r="K36" s="140"/>
      <x:c r="L36" s="140"/>
      <x:c r="M36" s="140"/>
      <x:c r="N36" s="140"/>
      <x:c r="O36" s="140"/>
      <x:c r="P36" s="140"/>
      <x:c r="Q36" s="140"/>
      <x:c r="R36" s="140"/>
    </x:row>
    <x:row r="37">
      <x:c r="B37" s="152" t="str">
        <x:v>Group-Action Status</x:v>
      </x:c>
      <x:c r="C37" s="415" t="str">
        <x:f>IF(C36="","PENDING",IF(C36="REVIEW","REVIEW",IF(AND(C36&gt;0,C36&lt;=1),"PASS","CHECK")))</x:f>
        <x:v>PENDING</x:v>
      </x:c>
      <x:c r="D37" s="152" t="str"/>
      <x:c r="E37" s="152" t="str">
        <x:v>QA / applicability gate</x:v>
      </x:c>
      <x:c r="F37" s="140"/>
      <x:c r="G37" s="140"/>
      <x:c r="H37" s="140"/>
      <x:c r="I37" s="140"/>
      <x:c r="J37" s="140"/>
      <x:c r="K37" s="140"/>
      <x:c r="L37" s="140"/>
      <x:c r="M37" s="140"/>
      <x:c r="N37" s="140"/>
      <x:c r="O37" s="140"/>
      <x:c r="P37" s="140"/>
      <x:c r="Q37" s="140"/>
      <x:c r="R37" s="140"/>
    </x:row>
    <x:row r="38">
      <x:c r="B38" s="140"/>
      <x:c r="C38" s="239"/>
      <x:c r="D38" s="140"/>
      <x:c r="E38" s="140"/>
      <x:c r="F38" s="140"/>
      <x:c r="G38" s="140"/>
      <x:c r="H38" s="140"/>
      <x:c r="I38" s="140"/>
      <x:c r="J38" s="140"/>
      <x:c r="K38" s="140"/>
      <x:c r="L38" s="140"/>
      <x:c r="M38" s="140"/>
      <x:c r="N38" s="140"/>
      <x:c r="O38" s="140"/>
      <x:c r="P38" s="140"/>
      <x:c r="Q38" s="140"/>
      <x:c r="R38" s="140"/>
    </x:row>
    <x:row r="39">
      <x:c r="B39" s="140"/>
      <x:c r="C39" s="239"/>
      <x:c r="D39" s="140"/>
      <x:c r="E39" s="140"/>
      <x:c r="F39" s="140"/>
      <x:c r="G39" s="140"/>
      <x:c r="H39" s="140"/>
      <x:c r="I39" s="140"/>
      <x:c r="J39" s="140"/>
      <x:c r="K39" s="140"/>
      <x:c r="L39" s="140"/>
      <x:c r="M39" s="140"/>
      <x:c r="N39" s="140"/>
      <x:c r="O39" s="140"/>
      <x:c r="P39" s="140"/>
      <x:c r="Q39" s="140"/>
      <x:c r="R39" s="140"/>
    </x:row>
    <x:row r="40">
      <x:c r="B40" s="437" t="str">
        <x:v>CONNECTION CAPACITY / UTILIZATION</x:v>
      </x:c>
      <x:c r="C40" s="454"/>
      <x:c r="D40" s="437"/>
      <x:c r="E40" s="437"/>
      <x:c r="F40" s="437"/>
      <x:c r="G40" s="140"/>
      <x:c r="H40" s="140"/>
      <x:c r="I40" s="140"/>
      <x:c r="J40" s="140"/>
      <x:c r="K40" s="140"/>
      <x:c r="L40" s="140"/>
      <x:c r="M40" s="140"/>
      <x:c r="N40" s="140"/>
      <x:c r="O40" s="140"/>
      <x:c r="P40" s="140"/>
      <x:c r="Q40" s="140"/>
      <x:c r="R40" s="140"/>
    </x:row>
    <x:row r="41">
      <x:c r="B41" s="450" t="str">
        <x:v>Check</x:v>
      </x:c>
      <x:c r="C41" s="455" t="str">
        <x:v>Result</x:v>
      </x:c>
      <x:c r="D41" s="450" t="str">
        <x:v>Unit</x:v>
      </x:c>
      <x:c r="E41" s="450" t="str">
        <x:v>Basis</x:v>
      </x:c>
      <x:c r="F41" s="140"/>
      <x:c r="G41" s="140"/>
      <x:c r="H41" s="140"/>
      <x:c r="I41" s="140"/>
      <x:c r="J41" s="140"/>
      <x:c r="K41" s="140"/>
      <x:c r="L41" s="140"/>
      <x:c r="M41" s="140"/>
      <x:c r="N41" s="140"/>
      <x:c r="O41" s="140"/>
      <x:c r="P41" s="140"/>
      <x:c r="Q41" s="140"/>
      <x:c r="R41" s="140"/>
    </x:row>
    <x:row r="42">
      <x:c r="B42" s="152" t="str">
        <x:v>Total Allowable Lateral Capacity</x:v>
      </x:c>
      <x:c r="C42" s="415" t="n">
        <x:f>IFERROR(C22*C16*C36*C25,"")</x:f>
        <x:v>0</x:v>
      </x:c>
      <x:c r="D42" s="152" t="str">
        <x:v>lb</x:v>
      </x:c>
      <x:c r="E42" s="152" t="str">
        <x:v>Z′ × n × Cg × Cother</x:v>
      </x:c>
      <x:c r="F42" s="140"/>
      <x:c r="G42" s="140"/>
      <x:c r="H42" s="140"/>
      <x:c r="I42" s="140"/>
      <x:c r="J42" s="140"/>
      <x:c r="K42" s="140"/>
      <x:c r="L42" s="140"/>
      <x:c r="M42" s="140"/>
      <x:c r="N42" s="140"/>
      <x:c r="O42" s="140"/>
      <x:c r="P42" s="140"/>
      <x:c r="Q42" s="140"/>
      <x:c r="R42" s="140"/>
    </x:row>
    <x:row r="43">
      <x:c r="B43" s="152" t="str">
        <x:v>Lateral Utilization D/C</x:v>
      </x:c>
      <x:c r="C43" s="415" t="str">
        <x:f>IF(OR(C13="",C42=""),"",C13/C42)</x:f>
      </x:c>
      <x:c r="D43" s="152" t="str"/>
      <x:c r="E43" s="152" t="str">
        <x:v>V / lateral capacity</x:v>
      </x:c>
      <x:c r="F43" s="140"/>
      <x:c r="G43" s="140"/>
      <x:c r="H43" s="140"/>
      <x:c r="I43" s="140"/>
      <x:c r="J43" s="140"/>
      <x:c r="K43" s="140"/>
      <x:c r="L43" s="140"/>
      <x:c r="M43" s="140"/>
      <x:c r="N43" s="140"/>
      <x:c r="O43" s="140"/>
      <x:c r="P43" s="140"/>
      <x:c r="Q43" s="140"/>
      <x:c r="R43" s="140"/>
    </x:row>
    <x:row r="44">
      <x:c r="B44" s="152" t="str">
        <x:v>Effective Single-Fastener Withdrawal</x:v>
      </x:c>
      <x:c r="C44" s="415" t="str">
        <x:f>IF(C23="","",IF(C24="",C23,MIN(C23,C24)))</x:f>
      </x:c>
      <x:c r="D44" s="152" t="str">
        <x:v>lb</x:v>
      </x:c>
      <x:c r="E44" s="152" t="str">
        <x:v>min(W′, head pull-through where applicable)</x:v>
      </x:c>
      <x:c r="F44" s="140"/>
      <x:c r="G44" s="140"/>
      <x:c r="H44" s="140"/>
      <x:c r="I44" s="140"/>
      <x:c r="J44" s="140"/>
      <x:c r="K44" s="140"/>
      <x:c r="L44" s="140"/>
      <x:c r="M44" s="140"/>
      <x:c r="N44" s="140"/>
      <x:c r="O44" s="140"/>
      <x:c r="P44" s="140"/>
      <x:c r="Q44" s="140"/>
      <x:c r="R44" s="140"/>
    </x:row>
    <x:row r="45">
      <x:c r="B45" s="152" t="str">
        <x:v>Total Allowable Withdrawal Capacity</x:v>
      </x:c>
      <x:c r="C45" s="415" t="n">
        <x:f>IFERROR(C44*C16*C25,"")</x:f>
        <x:v>0</x:v>
      </x:c>
      <x:c r="D45" s="152" t="str">
        <x:v>lb</x:v>
      </x:c>
      <x:c r="E45" s="152" t="str">
        <x:v>Weff × n × Cother</x:v>
      </x:c>
      <x:c r="F45" s="140"/>
      <x:c r="G45" s="140"/>
      <x:c r="H45" s="140"/>
      <x:c r="I45" s="140"/>
      <x:c r="J45" s="140"/>
      <x:c r="K45" s="140"/>
      <x:c r="L45" s="140"/>
      <x:c r="M45" s="140"/>
      <x:c r="N45" s="140"/>
      <x:c r="O45" s="140"/>
      <x:c r="P45" s="140"/>
      <x:c r="Q45" s="140"/>
      <x:c r="R45" s="140"/>
    </x:row>
    <x:row r="46">
      <x:c r="B46" s="152" t="str">
        <x:v>Withdrawal Utilization D/C</x:v>
      </x:c>
      <x:c r="C46" s="415" t="str">
        <x:f>IF(OR(C14="",C45=""),"",C14/C45)</x:f>
      </x:c>
      <x:c r="D46" s="152" t="str"/>
      <x:c r="E46" s="152" t="str">
        <x:v>T / withdrawal capacity</x:v>
      </x:c>
      <x:c r="F46" s="140"/>
      <x:c r="G46" s="140"/>
      <x:c r="H46" s="140"/>
      <x:c r="I46" s="140"/>
      <x:c r="J46" s="140"/>
      <x:c r="K46" s="140"/>
      <x:c r="L46" s="140"/>
      <x:c r="M46" s="140"/>
      <x:c r="N46" s="140"/>
      <x:c r="O46" s="140"/>
      <x:c r="P46" s="140"/>
      <x:c r="Q46" s="140"/>
      <x:c r="R46" s="140"/>
    </x:row>
    <x:row r="47">
      <x:c r="B47" s="152" t="str">
        <x:v>Governing Utilization</x:v>
      </x:c>
      <x:c r="C47" s="415" t="str">
        <x:f>IF(AND(C43="",C46=""),"",MAX(IF(C43="",0,C43),IF(C46="",0,C46)))</x:f>
      </x:c>
      <x:c r="D47" s="152" t="str"/>
      <x:c r="E47" s="152" t="str">
        <x:v>max lateral / withdrawal</x:v>
      </x:c>
      <x:c r="F47" s="140"/>
      <x:c r="G47" s="140"/>
      <x:c r="H47" s="140"/>
      <x:c r="I47" s="140"/>
      <x:c r="J47" s="140"/>
      <x:c r="K47" s="140"/>
      <x:c r="L47" s="140"/>
      <x:c r="M47" s="140"/>
      <x:c r="N47" s="140"/>
      <x:c r="O47" s="140"/>
      <x:c r="P47" s="140"/>
      <x:c r="Q47" s="140"/>
      <x:c r="R47" s="140"/>
    </x:row>
    <x:row r="48">
      <x:c r="B48" s="152" t="str">
        <x:v>Connection Status</x:v>
      </x:c>
      <x:c r="C48" s="415" t="str">
        <x:f>IF(C47="","PENDING",IF(C47&lt;=1,IF(C12="COMBINED","REVIEW","PASS"),"FAIL"))</x:f>
        <x:v>PENDING</x:v>
      </x:c>
      <x:c r="D48" s="152" t="str"/>
      <x:c r="E48" s="152" t="str">
        <x:v>Combined load requires explicit interaction review</x:v>
      </x:c>
      <x:c r="F48" s="140"/>
      <x:c r="G48" s="140"/>
      <x:c r="H48" s="140"/>
      <x:c r="I48" s="140"/>
      <x:c r="J48" s="140"/>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437" t="str">
        <x:v>CONTROLLED REVIEW GATES</x:v>
      </x:c>
      <x:c r="C51" s="437"/>
      <x:c r="D51" s="437"/>
      <x:c r="E51" s="437"/>
      <x:c r="F51" s="437"/>
      <x:c r="G51" s="437"/>
      <x:c r="H51" s="437"/>
      <x:c r="I51" s="437"/>
      <x:c r="J51" s="437"/>
      <x:c r="K51" s="140"/>
      <x:c r="L51" s="140"/>
      <x:c r="M51" s="140"/>
      <x:c r="N51" s="140"/>
      <x:c r="O51" s="140"/>
      <x:c r="P51" s="140"/>
      <x:c r="Q51" s="140"/>
      <x:c r="R51" s="140"/>
    </x:row>
    <x:row r="52">
      <x:c r="B52" s="450" t="str">
        <x:v>Gate</x:v>
      </x:c>
      <x:c r="C52" s="450" t="str">
        <x:v>Status</x:v>
      </x:c>
      <x:c r="D52" s="450" t="str">
        <x:v>Reason / action</x:v>
      </x:c>
      <x:c r="E52" s="450" t="str"/>
      <x:c r="F52" s="450" t="str"/>
      <x:c r="G52" s="450" t="str"/>
      <x:c r="H52" s="450" t="str"/>
      <x:c r="I52" s="450" t="str"/>
      <x:c r="J52" s="450" t="str"/>
      <x:c r="K52" s="140"/>
      <x:c r="L52" s="140"/>
      <x:c r="M52" s="140"/>
      <x:c r="N52" s="140"/>
      <x:c r="O52" s="140"/>
      <x:c r="P52" s="140"/>
      <x:c r="Q52" s="140"/>
      <x:c r="R52" s="140"/>
    </x:row>
    <x:row r="53" ht="40" customHeight="1">
      <x:c r="B53" s="152" t="str">
        <x:v>Spacing / edge / end distances</x:v>
      </x:c>
      <x:c r="C53" s="152" t="str">
        <x:v>REVIEW</x:v>
      </x:c>
      <x:c r="D53" s="152" t="str">
        <x:v>Verify minimum spacing, end distance, edge distance, stagger, and member thickness for selected fastener and loading direction.</x:v>
      </x:c>
      <x:c r="E53" s="152" t="str"/>
      <x:c r="F53" s="152" t="str"/>
      <x:c r="G53" s="152" t="str"/>
      <x:c r="H53" s="152" t="str"/>
      <x:c r="I53" s="152" t="str"/>
      <x:c r="J53" s="152" t="str"/>
      <x:c r="K53" s="140"/>
      <x:c r="L53" s="140"/>
      <x:c r="M53" s="140"/>
      <x:c r="N53" s="140"/>
      <x:c r="O53" s="140"/>
      <x:c r="P53" s="140"/>
      <x:c r="Q53" s="140"/>
      <x:c r="R53" s="140"/>
    </x:row>
    <x:row r="54" ht="40" customHeight="1">
      <x:c r="B54" s="152" t="str">
        <x:v>Combined lateral + withdrawal</x:v>
      </x:c>
      <x:c r="C54" s="152" t="str">
        <x:v>REVIEW</x:v>
      </x:c>
      <x:c r="D54" s="152" t="str">
        <x:v>Where both actions occur, apply the governing NDS/product interaction provision rather than relying on separate D/C checks alone.</x:v>
      </x:c>
      <x:c r="E54" s="152" t="str"/>
      <x:c r="F54" s="152" t="str"/>
      <x:c r="G54" s="152" t="str"/>
      <x:c r="H54" s="152" t="str"/>
      <x:c r="I54" s="152" t="str"/>
      <x:c r="J54" s="152" t="str"/>
      <x:c r="K54" s="140"/>
      <x:c r="L54" s="140"/>
      <x:c r="M54" s="140"/>
      <x:c r="N54" s="140"/>
      <x:c r="O54" s="140"/>
      <x:c r="P54" s="140"/>
      <x:c r="Q54" s="140"/>
      <x:c r="R54" s="140"/>
    </x:row>
    <x:row r="55" ht="40" customHeight="1">
      <x:c r="B55" s="152" t="str">
        <x:v>Steel / concrete side member</x:v>
      </x:c>
      <x:c r="C55" s="152" t="str">
        <x:v>REVIEW</x:v>
      </x:c>
      <x:c r="D55" s="152" t="str">
        <x:v>Verify side-member yielding/bearing, plate thickness, washer, concrete/anchor limit states, and source applicability.</x:v>
      </x:c>
      <x:c r="E55" s="152" t="str"/>
      <x:c r="F55" s="152" t="str"/>
      <x:c r="G55" s="152" t="str"/>
      <x:c r="H55" s="152" t="str"/>
      <x:c r="I55" s="152" t="str"/>
      <x:c r="J55" s="152" t="str"/>
      <x:c r="K55" s="140"/>
      <x:c r="L55" s="140"/>
      <x:c r="M55" s="140"/>
      <x:c r="N55" s="140"/>
      <x:c r="O55" s="140"/>
      <x:c r="P55" s="140"/>
      <x:c r="Q55" s="140"/>
      <x:c r="R55" s="140"/>
    </x:row>
    <x:row r="56" ht="40" customHeight="1">
      <x:c r="B56" s="152" t="str">
        <x:v>Head pull-through</x:v>
      </x:c>
      <x:c r="C56" s="152" t="str">
        <x:v>REVIEW</x:v>
      </x:c>
      <x:c r="D56" s="152" t="str">
        <x:v>For nails/wood screws in withdrawal from the main member, verify side-member head pull-through where required by 2024 NDS.</x:v>
      </x:c>
      <x:c r="E56" s="152" t="str"/>
      <x:c r="F56" s="152" t="str"/>
      <x:c r="G56" s="152" t="str"/>
      <x:c r="H56" s="152" t="str"/>
      <x:c r="I56" s="152" t="str"/>
      <x:c r="J56" s="152" t="str"/>
      <x:c r="K56" s="140"/>
      <x:c r="L56" s="140"/>
      <x:c r="M56" s="140"/>
      <x:c r="N56" s="140"/>
      <x:c r="O56" s="140"/>
      <x:c r="P56" s="140"/>
      <x:c r="Q56" s="140"/>
      <x:c r="R56" s="140"/>
    </x:row>
    <x:row r="57" ht="40" customHeight="1">
      <x:c r="B57" s="152" t="str">
        <x:v>Fastener/source match</x:v>
      </x:c>
      <x:c r="C57" s="152" t="str">
        <x:v>REVIEW</x:v>
      </x:c>
      <x:c r="D57" s="152" t="str">
        <x:v>Diameter, thread condition, embedment, species, moisture, temperature, load duration, and source record must match the project connection.</x:v>
      </x:c>
      <x:c r="E57" s="152" t="str"/>
      <x:c r="F57" s="152" t="str"/>
      <x:c r="G57" s="152" t="str"/>
      <x:c r="H57" s="152" t="str"/>
      <x:c r="I57" s="152" t="str"/>
      <x:c r="J57" s="152" t="str"/>
      <x:c r="K57" s="140"/>
      <x:c r="L57" s="140"/>
      <x:c r="M57" s="140"/>
      <x:c r="N57" s="140"/>
      <x:c r="O57" s="140"/>
      <x:c r="P57" s="140"/>
      <x:c r="Q57" s="140"/>
      <x:c r="R57" s="140"/>
    </x:row>
    <x:row r="58" ht="40" customHeight="1">
      <x:c r="B58" s="152" t="str">
        <x:v>Fire / corrosion / treatment</x:v>
      </x:c>
      <x:c r="C58" s="152" t="str">
        <x:v>REVIEW</x:v>
      </x:c>
      <x:c r="D58" s="152" t="str">
        <x:v>Confirm connector/fastener material compatibility and durability requirements.</x:v>
      </x:c>
      <x:c r="E58" s="152" t="str"/>
      <x:c r="F58" s="152" t="str"/>
      <x:c r="G58" s="152" t="str"/>
      <x:c r="H58" s="152" t="str"/>
      <x:c r="I58" s="152" t="str"/>
      <x:c r="J58" s="152" t="str"/>
      <x:c r="K58" s="140"/>
      <x:c r="L58" s="140"/>
      <x:c r="M58" s="140"/>
      <x:c r="N58" s="140"/>
      <x:c r="O58" s="140"/>
      <x:c r="P58" s="140"/>
      <x:c r="Q58" s="140"/>
      <x:c r="R58" s="140"/>
    </x:row>
    <x:row r="59" ht="40" customHeight="1">
      <x:c r="B59" s="152" t="str">
        <x:v>Publication gate</x:v>
      </x:c>
      <x:c r="C59" s="152" t="str">
        <x:v>REVIEW</x:v>
      </x:c>
      <x:c r="D59" s="152" t="str">
        <x:v>Engineer review required before permit or construction issue.</x:v>
      </x:c>
      <x:c r="E59" s="152" t="str"/>
      <x:c r="F59" s="152" t="str"/>
      <x:c r="G59" s="152" t="str"/>
      <x:c r="H59" s="152" t="str"/>
      <x:c r="I59" s="152" t="str"/>
      <x:c r="J59" s="152" t="str"/>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H6:J6"/>
    <x:mergeCell ref="B30:F30"/>
    <x:mergeCell ref="B40:F40"/>
    <x:mergeCell ref="B51:J51"/>
    <x:mergeCell ref="D53:J53"/>
    <x:mergeCell ref="D54:J54"/>
    <x:mergeCell ref="D55:J55"/>
    <x:mergeCell ref="D56:J56"/>
    <x:mergeCell ref="D57:J57"/>
    <x:mergeCell ref="D58:J58"/>
    <x:mergeCell ref="D59:J59"/>
    <x:mergeCell ref="M2:R2"/>
    <x:mergeCell ref="M14:R16"/>
  </x:mergeCells>
  <x:conditionalFormatting sqref="I7:I13">
    <x:cfRule type="expression" dxfId="116" priority="1">
      <x:formula>I7="PASS"</x:formula>
    </x:cfRule>
    <x:cfRule type="expression" dxfId="117" priority="2">
      <x:formula>I7="FAIL"</x:formula>
    </x:cfRule>
    <x:cfRule type="expression" dxfId="118" priority="3">
      <x:formula>OR(I7="REVIEW",I7="PENDING",I7="CHECK")</x:formula>
    </x:cfRule>
  </x:conditionalFormatting>
  <x:conditionalFormatting sqref="F8:F27">
    <x:cfRule type="expression" dxfId="119" priority="4">
      <x:formula>F8="PASS"</x:formula>
    </x:cfRule>
    <x:cfRule type="expression" dxfId="120" priority="5">
      <x:formula>F8="FAIL"</x:formula>
    </x:cfRule>
    <x:cfRule type="expression" dxfId="121" priority="6">
      <x:formula>OR(F8="REVIEW",F8="PENDING",F8="CHECK")</x:formula>
    </x:cfRule>
  </x:conditionalFormatting>
  <x:conditionalFormatting sqref="C37:C37">
    <x:cfRule type="expression" dxfId="122" priority="7">
      <x:formula>C37="PASS"</x:formula>
    </x:cfRule>
    <x:cfRule type="expression" dxfId="123" priority="8">
      <x:formula>C37="FAIL"</x:formula>
    </x:cfRule>
    <x:cfRule type="expression" dxfId="124" priority="9">
      <x:formula>OR(C37="REVIEW",C37="PENDING",C37="CHECK")</x:formula>
    </x:cfRule>
  </x:conditionalFormatting>
  <x:conditionalFormatting sqref="C48:C48">
    <x:cfRule type="expression" dxfId="125" priority="10">
      <x:formula>C48="PASS"</x:formula>
    </x:cfRule>
    <x:cfRule type="expression" dxfId="126" priority="11">
      <x:formula>C48="FAIL"</x:formula>
    </x:cfRule>
    <x:cfRule type="expression" dxfId="127" priority="12">
      <x:formula>OR(C48="REVIEW",C48="PENDING",C48="CHECK")</x:formula>
    </x:cfRule>
  </x:conditionalFormatting>
  <x:conditionalFormatting sqref="R4:R12">
    <x:cfRule type="expression" dxfId="128" priority="13">
      <x:formula>R4="PASS"</x:formula>
    </x:cfRule>
    <x:cfRule type="expression" dxfId="129" priority="14">
      <x:formula>R4="FAIL"</x:formula>
    </x:cfRule>
    <x:cfRule type="expression" dxfId="130" priority="15">
      <x:formula>OR(R4="REVIEW",R4="PENDING",R4="CHECK")</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2" max="2" width="32" hidden="0" customWidth="1"/>
    <x:col min="3" max="3" width="20" hidden="0" customWidth="1"/>
    <x:col min="4" max="4" width="12" hidden="0" customWidth="1"/>
    <x:col min="5" max="5" width="42" hidden="0" customWidth="1"/>
    <x:col min="6" max="6" width="12" hidden="0" customWidth="1"/>
    <x:col min="8" max="8" width="25" hidden="0" customWidth="1"/>
    <x:col min="9" max="9" width="14" hidden="0" customWidth="1"/>
    <x:col min="13" max="13" width="18" hidden="0" customWidth="1"/>
    <x:col min="14" max="14" width="44" hidden="0" customWidth="1"/>
    <x:col min="15" max="15" width="16" hidden="0" customWidth="1"/>
    <x:col min="16" max="16" width="16"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441" t="str">
        <x:v>HOLDOWN / TENSION-TIE DESIGN ENGINE</x:v>
      </x:c>
      <x:c r="C2" s="441"/>
      <x:c r="D2" s="441"/>
      <x:c r="E2" s="441"/>
      <x:c r="F2" s="441"/>
      <x:c r="G2" s="441"/>
      <x:c r="H2" s="441"/>
      <x:c r="I2" s="441"/>
      <x:c r="J2" s="441"/>
      <x:c r="K2" s="140"/>
      <x:c r="L2" s="140"/>
      <x:c r="M2" s="437" t="str">
        <x:v>LOCKED MATH QA BENCHMARKS</x:v>
      </x:c>
      <x:c r="N2" s="437"/>
      <x:c r="O2" s="437"/>
      <x:c r="P2" s="437"/>
      <x:c r="Q2" s="437"/>
      <x:c r="R2" s="437"/>
    </x:row>
    <x:row r="3">
      <x:c r="B3" s="140"/>
      <x:c r="C3" s="140"/>
      <x:c r="D3" s="140"/>
      <x:c r="E3" s="140"/>
      <x:c r="F3" s="140"/>
      <x:c r="G3" s="140"/>
      <x:c r="H3" s="140"/>
      <x:c r="I3" s="140"/>
      <x:c r="J3" s="140"/>
      <x:c r="K3" s="140"/>
      <x:c r="L3" s="140"/>
      <x:c r="M3" s="450" t="str">
        <x:v>Test</x:v>
      </x:c>
      <x:c r="N3" s="450" t="str">
        <x:v>Inputs</x:v>
      </x:c>
      <x:c r="O3" s="450" t="str">
        <x:v>Expected</x:v>
      </x:c>
      <x:c r="P3" s="450" t="str">
        <x:v>Workbook</x:v>
      </x:c>
      <x:c r="Q3" s="450" t="str">
        <x:v>Abs Diff</x:v>
      </x:c>
      <x:c r="R3" s="450" t="str">
        <x:v>Status</x:v>
      </x:c>
    </x:row>
    <x:row r="4" ht="54" customHeight="1">
      <x:c r="B4" s="444" t="str">
        <x:v>Scope: proprietary or engineered holdown/tension-tie demand-capacity check plus displacement screening. Published allowable load and deformation remain tied to the current evaluation report/manufacturer source. Additional anchor-rod elongation beyond the published test/reference length is calculated elastically and added to the deformation screen.</x:v>
      </x:c>
      <x:c r="C4" s="444"/>
      <x:c r="D4" s="444"/>
      <x:c r="E4" s="444"/>
      <x:c r="F4" s="444"/>
      <x:c r="G4" s="444"/>
      <x:c r="H4" s="444"/>
      <x:c r="I4" s="444"/>
      <x:c r="J4" s="444"/>
      <x:c r="K4" s="140"/>
      <x:c r="L4" s="140"/>
      <x:c r="M4" s="152" t="str">
        <x:v>HD-QA-01</x:v>
      </x:c>
      <x:c r="N4" s="152" t="str">
        <x:v>Adjusted cap 5000×0.9</x:v>
      </x:c>
      <x:c r="O4" s="415" t="n">
        <x:v>4500</x:v>
      </x:c>
      <x:c r="P4" s="415" t="n">
        <x:f>5000*0.9</x:f>
        <x:v>4500</x:v>
      </x:c>
      <x:c r="Q4" s="415" t="n">
        <x:f>ABS(O4-P4)</x:f>
        <x:v>0</x:v>
      </x:c>
      <x:c r="R4" s="152" t="str">
        <x:f>IF(Q4&lt;1E-9,"PASS","FAIL")</x:f>
        <x:v>PASS</x:v>
      </x:c>
    </x:row>
    <x:row r="5">
      <x:c r="B5" s="140"/>
      <x:c r="C5" s="140"/>
      <x:c r="D5" s="140"/>
      <x:c r="E5" s="140"/>
      <x:c r="F5" s="140"/>
      <x:c r="G5" s="140"/>
      <x:c r="H5" s="140"/>
      <x:c r="I5" s="140"/>
      <x:c r="J5" s="140"/>
      <x:c r="K5" s="140"/>
      <x:c r="L5" s="140"/>
      <x:c r="M5" s="152" t="str">
        <x:v>HD-QA-02</x:v>
      </x:c>
      <x:c r="N5" s="152" t="str">
        <x:v>D/C 3500/4500</x:v>
      </x:c>
      <x:c r="O5" s="415" t="n">
        <x:v>0.7777777777777778</x:v>
      </x:c>
      <x:c r="P5" s="415" t="n">
        <x:f>3500/4500</x:f>
        <x:v>0.7777777777777778</x:v>
      </x:c>
      <x:c r="Q5" s="415" t="n">
        <x:f>ABS(O5-P5)</x:f>
        <x:v>0</x:v>
      </x:c>
      <x:c r="R5" s="152" t="str">
        <x:f>IF(Q5&lt;1E-9,"PASS","FAIL")</x:f>
        <x:v>PASS</x:v>
      </x:c>
    </x:row>
    <x:row r="6">
      <x:c r="B6" s="437" t="str">
        <x:v>HOLDOWN BASIS</x:v>
      </x:c>
      <x:c r="C6" s="437"/>
      <x:c r="D6" s="437"/>
      <x:c r="E6" s="437"/>
      <x:c r="F6" s="437"/>
      <x:c r="G6" s="140"/>
      <x:c r="H6" s="437" t="str">
        <x:v>MODULE STATUS</x:v>
      </x:c>
      <x:c r="I6" s="437"/>
      <x:c r="J6" s="437"/>
      <x:c r="K6" s="140"/>
      <x:c r="L6" s="140"/>
      <x:c r="M6" s="152" t="str">
        <x:v>HD-QA-03</x:v>
      </x:c>
      <x:c r="N6" s="152" t="str">
        <x:v>Extra length max(0,18−6)</x:v>
      </x:c>
      <x:c r="O6" s="415" t="n">
        <x:v>12</x:v>
      </x:c>
      <x:c r="P6" s="415" t="n">
        <x:f>MAX(0,18-6)</x:f>
        <x:v>12</x:v>
      </x:c>
      <x:c r="Q6" s="415" t="n">
        <x:f>ABS(O6-P6)</x:f>
        <x:v>0</x:v>
      </x:c>
      <x:c r="R6" s="152" t="str">
        <x:f>IF(Q6&lt;1E-9,"PASS","FAIL")</x:f>
        <x:v>PASS</x:v>
      </x:c>
    </x:row>
    <x:row r="7">
      <x:c r="B7" s="450" t="str">
        <x:v>Parameter</x:v>
      </x:c>
      <x:c r="C7" s="450" t="str">
        <x:v>Value</x:v>
      </x:c>
      <x:c r="D7" s="450" t="str">
        <x:v>Unit</x:v>
      </x:c>
      <x:c r="E7" s="450" t="str">
        <x:v>Source / Basis</x:v>
      </x:c>
      <x:c r="F7" s="450" t="str">
        <x:v>Status</x:v>
      </x:c>
      <x:c r="G7" s="140"/>
      <x:c r="H7" s="450" t="str">
        <x:v>Input Completeness</x:v>
      </x:c>
      <x:c r="I7" s="450" t="str">
        <x:f>IF(COUNTIF(F8:F22,"MISSING")=0,"READY","PENDING")</x:f>
        <x:v>PENDING</x:v>
      </x:c>
      <x:c r="J7" s="140"/>
      <x:c r="K7" s="140"/>
      <x:c r="L7" s="140"/>
      <x:c r="M7" s="152" t="str">
        <x:v>HD-QA-04</x:v>
      </x:c>
      <x:c r="N7" s="152" t="str">
        <x:v>Rod elongation P=3500,L=12,A=.334,E=29e6</x:v>
      </x:c>
      <x:c r="O7" s="415" t="n">
        <x:v>0.0043361552756555856</x:v>
      </x:c>
      <x:c r="P7" s="415" t="n">
        <x:f>3500*12/(0.334*29000000)</x:f>
        <x:v>0.0043361552756555856</x:v>
      </x:c>
      <x:c r="Q7" s="415" t="n">
        <x:f>ABS(O7-P7)</x:f>
        <x:v>0</x:v>
      </x:c>
      <x:c r="R7" s="152" t="str">
        <x:f>IF(Q7&lt;1E-9,"PASS","FAIL")</x:f>
        <x:v>PASS</x:v>
      </x:c>
    </x:row>
    <x:row r="8">
      <x:c r="B8" s="152" t="str">
        <x:v>Holdown Mark</x:v>
      </x:c>
      <x:c r="C8" s="152" t="str">
        <x:f>IF('01_INPUTS'!C235="","",'01_INPUTS'!C235)</x:f>
      </x:c>
      <x:c r="D8" s="152" t="str"/>
      <x:c r="E8" s="152" t="str">
        <x:v>01_INPUTS</x:v>
      </x:c>
      <x:c r="F8" s="152" t="str">
        <x:f>IF(C8="","MISSING","OK")</x:f>
        <x:v>MISSING</x:v>
      </x:c>
      <x:c r="G8" s="140"/>
      <x:c r="H8" s="450" t="str">
        <x:v>Holdown Strength</x:v>
      </x:c>
      <x:c r="I8" s="450" t="str">
        <x:f>IF(C31="","PENDING",IF(C31&lt;=1,"PASS","FAIL"))</x:f>
        <x:v>PENDING</x:v>
      </x:c>
      <x:c r="J8" s="140"/>
      <x:c r="K8" s="140"/>
      <x:c r="L8" s="140"/>
      <x:c r="M8" s="152" t="str">
        <x:v>HD-QA-05</x:v>
      </x:c>
      <x:c r="N8" s="152" t="str">
        <x:v>Scaled deformation .10×3500/5000</x:v>
      </x:c>
      <x:c r="O8" s="415" t="n">
        <x:v>0.07</x:v>
      </x:c>
      <x:c r="P8" s="415" t="n">
        <x:f>0.10*3500/5000</x:f>
        <x:v>0.07</x:v>
      </x:c>
      <x:c r="Q8" s="415" t="n">
        <x:f>ABS(O8-P8)</x:f>
        <x:v>0</x:v>
      </x:c>
      <x:c r="R8" s="152" t="str">
        <x:f>IF(Q8&lt;1E-9,"PASS","FAIL")</x:f>
        <x:v>PASS</x:v>
      </x:c>
    </x:row>
    <x:row r="9">
      <x:c r="B9" s="152" t="str">
        <x:v>Associated Wall Line</x:v>
      </x:c>
      <x:c r="C9" s="152" t="str">
        <x:f>IF('01_INPUTS'!C236="","",'01_INPUTS'!C236)</x:f>
      </x:c>
      <x:c r="D9" s="152" t="str"/>
      <x:c r="E9" s="152" t="str">
        <x:v>01_INPUTS</x:v>
      </x:c>
      <x:c r="F9" s="152" t="str">
        <x:f>IF(C9="","MISSING","OK")</x:f>
        <x:v>MISSING</x:v>
      </x:c>
      <x:c r="G9" s="140"/>
      <x:c r="H9" s="450" t="str">
        <x:v>Post Strength</x:v>
      </x:c>
      <x:c r="I9" s="450" t="str">
        <x:f>IF(C32="","PENDING",IF(C32&lt;=1,"PASS","FAIL"))</x:f>
        <x:v>PENDING</x:v>
      </x:c>
      <x:c r="J9" s="140"/>
      <x:c r="K9" s="140"/>
      <x:c r="L9" s="140"/>
      <x:c r="M9" s="152" t="str">
        <x:v>HD-QA-06</x:v>
      </x:c>
      <x:c r="N9" s="152" t="str">
        <x:v>Total deformation</x:v>
      </x:c>
      <x:c r="O9" s="415" t="n">
        <x:v>0.0743361552756556</x:v>
      </x:c>
      <x:c r="P9" s="415" t="n">
        <x:f>0.07+3500*12/(0.334*29000000)</x:f>
        <x:v>0.0743361552756556</x:v>
      </x:c>
      <x:c r="Q9" s="415" t="n">
        <x:f>ABS(O9-P9)</x:f>
        <x:v>0</x:v>
      </x:c>
      <x:c r="R9" s="152" t="str">
        <x:f>IF(Q9&lt;1E-9,"PASS","FAIL")</x:f>
        <x:v>PASS</x:v>
      </x:c>
    </x:row>
    <x:row r="10">
      <x:c r="B10" s="152" t="str">
        <x:v>Product / Type</x:v>
      </x:c>
      <x:c r="C10" s="152" t="str">
        <x:f>IF('01_INPUTS'!C237="","",'01_INPUTS'!C237)</x:f>
      </x:c>
      <x:c r="D10" s="152" t="str"/>
      <x:c r="E10" s="152" t="str">
        <x:v>Manufacturer / engineered design</x:v>
      </x:c>
      <x:c r="F10" s="152" t="str">
        <x:f>IF(C10="","MISSING","OK")</x:f>
        <x:v>MISSING</x:v>
      </x:c>
      <x:c r="G10" s="140"/>
      <x:c r="H10" s="450" t="str">
        <x:v>Deformation Screen</x:v>
      </x:c>
      <x:c r="I10" s="450" t="str">
        <x:f>IF(C36="","PENDING","REVIEW")</x:f>
        <x:v>PENDING</x:v>
      </x:c>
      <x:c r="J10" s="140"/>
      <x:c r="K10" s="140"/>
      <x:c r="L10" s="140"/>
      <x:c r="M10" s="152"/>
      <x:c r="N10" s="152"/>
      <x:c r="O10" s="152"/>
      <x:c r="P10" s="152"/>
      <x:c r="Q10" s="152"/>
      <x:c r="R10" s="152"/>
    </x:row>
    <x:row r="11">
      <x:c r="B11" s="152" t="str">
        <x:v>Tension Demand T</x:v>
      </x:c>
      <x:c r="C11" s="152" t="str">
        <x:f>IF('01_INPUTS'!C238="","",'01_INPUTS'!C238)</x:f>
      </x:c>
      <x:c r="D11" s="152" t="str">
        <x:v>lb</x:v>
      </x:c>
      <x:c r="E11" s="152" t="str">
        <x:v>Shear-wall overturning / load path</x:v>
      </x:c>
      <x:c r="F11" s="152" t="str">
        <x:f>IF(C11="","MISSING","OK")</x:f>
        <x:v>MISSING</x:v>
      </x:c>
      <x:c r="G11" s="140"/>
      <x:c r="H11" s="450" t="str">
        <x:v>Concrete Anchor</x:v>
      </x:c>
      <x:c r="I11" s="450" t="str">
        <x:f>IF(C21="","PENDING","REVIEW")</x:f>
        <x:v>PENDING</x:v>
      </x:c>
      <x:c r="J11" s="140"/>
      <x:c r="K11" s="140"/>
      <x:c r="L11" s="140"/>
      <x:c r="M11" s="152" t="str">
        <x:v>Benchmark Overall</x:v>
      </x:c>
      <x:c r="N11" s="152" t="str"/>
      <x:c r="O11" s="152" t="str"/>
      <x:c r="P11" s="152" t="str"/>
      <x:c r="Q11" s="152" t="str"/>
      <x:c r="R11" s="152" t="str">
        <x:f>IF(COUNTIF(R4:R9,"FAIL")=0,"PASS","FAIL")</x:f>
        <x:v>PASS</x:v>
      </x:c>
    </x:row>
    <x:row r="12">
      <x:c r="B12" s="152" t="str">
        <x:v>Published Allowable Tension</x:v>
      </x:c>
      <x:c r="C12" s="152" t="str">
        <x:f>IF('01_INPUTS'!C239="","",'01_INPUTS'!C239)</x:f>
      </x:c>
      <x:c r="D12" s="152" t="str">
        <x:v>lb</x:v>
      </x:c>
      <x:c r="E12" s="152" t="str">
        <x:v>Evaluation report / manufacturer</x:v>
      </x:c>
      <x:c r="F12" s="152" t="str">
        <x:f>IF(C12="","MISSING","OK")</x:f>
        <x:v>MISSING</x:v>
      </x:c>
      <x:c r="G12" s="140"/>
      <x:c r="H12" s="450" t="str">
        <x:v>Math Cross-Checks</x:v>
      </x:c>
      <x:c r="I12" s="450" t="str">
        <x:f>IF(R9="PASS","PASS","CHECK")</x:f>
        <x:v>PASS</x:v>
      </x:c>
      <x:c r="J12" s="140"/>
      <x:c r="K12" s="140"/>
      <x:c r="L12" s="140"/>
      <x:c r="M12" s="140"/>
      <x:c r="N12" s="140"/>
      <x:c r="O12" s="140"/>
      <x:c r="P12" s="140"/>
      <x:c r="Q12" s="140"/>
      <x:c r="R12" s="140"/>
    </x:row>
    <x:row r="13">
      <x:c r="B13" s="152" t="str">
        <x:v>Published Deflection at Allowable</x:v>
      </x:c>
      <x:c r="C13" s="152" t="str">
        <x:f>IF('01_INPUTS'!C240="","",'01_INPUTS'!C240)</x:f>
      </x:c>
      <x:c r="D13" s="152" t="str">
        <x:v>in</x:v>
      </x:c>
      <x:c r="E13" s="152" t="str">
        <x:v>Product test data</x:v>
      </x:c>
      <x:c r="F13" s="152" t="str">
        <x:f>IF(C13="","MISSING","OK")</x:f>
        <x:v>MISSING</x:v>
      </x:c>
      <x:c r="G13" s="140"/>
      <x:c r="H13" s="450" t="str">
        <x:v>Overall</x:v>
      </x:c>
      <x:c r="I13" s="450" t="str">
        <x:f>IF(OR(I8="PENDING",I9="PENDING"),"PENDING",IF(OR(I8="FAIL",I9="FAIL"),"FAIL","REVIEW"))</x:f>
        <x:v>PENDING</x:v>
      </x:c>
      <x:c r="J13" s="140"/>
      <x:c r="K13" s="140"/>
      <x:c r="L13" s="140"/>
      <x:c r="M13" s="140"/>
      <x:c r="N13" s="140"/>
      <x:c r="O13" s="140"/>
      <x:c r="P13" s="140"/>
      <x:c r="Q13" s="140"/>
      <x:c r="R13" s="140"/>
    </x:row>
    <x:row r="14">
      <x:c r="B14" s="152" t="str">
        <x:v>Reference Rod Height</x:v>
      </x:c>
      <x:c r="C14" s="152" t="str">
        <x:f>IF('01_INPUTS'!C241="","",'01_INPUTS'!C241)</x:f>
      </x:c>
      <x:c r="D14" s="152" t="str">
        <x:v>in</x:v>
      </x:c>
      <x:c r="E14" s="152" t="str">
        <x:v>Published deformation basis</x:v>
      </x:c>
      <x:c r="F14" s="152" t="str">
        <x:f>IF(C14="","MISSING","OK")</x:f>
        <x:v>MISSING</x:v>
      </x:c>
      <x:c r="G14" s="140"/>
      <x:c r="H14" s="140"/>
      <x:c r="I14" s="140"/>
      <x:c r="J14" s="140"/>
      <x:c r="K14" s="140"/>
      <x:c r="L14" s="140"/>
      <x:c r="M14" s="140"/>
      <x:c r="N14" s="140"/>
      <x:c r="O14" s="140"/>
      <x:c r="P14" s="140"/>
      <x:c r="Q14" s="140"/>
      <x:c r="R14" s="140"/>
    </x:row>
    <x:row r="15">
      <x:c r="B15" s="152" t="str">
        <x:v>Actual Rod Free Length</x:v>
      </x:c>
      <x:c r="C15" s="152" t="str">
        <x:f>IF('01_INPUTS'!C242="","",'01_INPUTS'!C242)</x:f>
      </x:c>
      <x:c r="D15" s="152" t="str">
        <x:v>in</x:v>
      </x:c>
      <x:c r="E15" s="152" t="str">
        <x:v>Project geometry</x:v>
      </x:c>
      <x:c r="F15" s="152" t="str">
        <x:f>IF(C15="","MISSING","OK")</x:f>
        <x:v>MISSING</x:v>
      </x:c>
      <x:c r="G15" s="140"/>
      <x:c r="H15" s="140"/>
      <x:c r="I15" s="140"/>
      <x:c r="J15" s="140"/>
      <x:c r="K15" s="140"/>
      <x:c r="L15" s="140"/>
      <x:c r="M15" s="140"/>
      <x:c r="N15" s="140"/>
      <x:c r="O15" s="140"/>
      <x:c r="P15" s="140"/>
      <x:c r="Q15" s="140"/>
      <x:c r="R15" s="140"/>
    </x:row>
    <x:row r="16">
      <x:c r="B16" s="152" t="str">
        <x:v>Rod Tensile Area A</x:v>
      </x:c>
      <x:c r="C16" s="152" t="str">
        <x:f>IF('01_INPUTS'!C243="","",'01_INPUTS'!C243)</x:f>
      </x:c>
      <x:c r="D16" s="152" t="str">
        <x:v>in²</x:v>
      </x:c>
      <x:c r="E16" s="152" t="str">
        <x:v>Rod specification</x:v>
      </x:c>
      <x:c r="F16" s="152" t="str">
        <x:f>IF(C16="","MISSING","OK")</x:f>
        <x:v>MISSING</x:v>
      </x:c>
      <x:c r="G16" s="140"/>
      <x:c r="H16" s="140"/>
      <x:c r="I16" s="140"/>
      <x:c r="J16" s="140"/>
      <x:c r="K16" s="140"/>
      <x:c r="L16" s="140"/>
      <x:c r="M16" s="140"/>
      <x:c r="N16" s="140"/>
      <x:c r="O16" s="140"/>
      <x:c r="P16" s="140"/>
      <x:c r="Q16" s="140"/>
      <x:c r="R16" s="140"/>
    </x:row>
    <x:row r="17">
      <x:c r="B17" s="152" t="str">
        <x:v>Rod Modulus E</x:v>
      </x:c>
      <x:c r="C17" s="152" t="str">
        <x:f>IF('01_INPUTS'!C244="","",'01_INPUTS'!C244)</x:f>
      </x:c>
      <x:c r="D17" s="152" t="str">
        <x:v>psi</x:v>
      </x:c>
      <x:c r="E17" s="152" t="str">
        <x:v>Steel/material source</x:v>
      </x:c>
      <x:c r="F17" s="152" t="str">
        <x:f>IF(C17="","MISSING","OK")</x:f>
        <x:v>MISSING</x:v>
      </x:c>
      <x:c r="G17" s="140"/>
      <x:c r="H17" s="140"/>
      <x:c r="I17" s="140"/>
      <x:c r="J17" s="140"/>
      <x:c r="K17" s="140"/>
      <x:c r="L17" s="140"/>
      <x:c r="M17" s="140"/>
      <x:c r="N17" s="140"/>
      <x:c r="O17" s="140"/>
      <x:c r="P17" s="140"/>
      <x:c r="Q17" s="140"/>
      <x:c r="R17" s="140"/>
    </x:row>
    <x:row r="18">
      <x:c r="B18" s="152" t="str">
        <x:v>Post Allowable Tension</x:v>
      </x:c>
      <x:c r="C18" s="152" t="str">
        <x:f>IF('01_INPUTS'!C245="","",'01_INPUTS'!C245)</x:f>
      </x:c>
      <x:c r="D18" s="152" t="str">
        <x:v>lb</x:v>
      </x:c>
      <x:c r="E18" s="152" t="str">
        <x:v>NDS/member calculation</x:v>
      </x:c>
      <x:c r="F18" s="152" t="str">
        <x:f>IF(C18="","MISSING","OK")</x:f>
        <x:v>MISSING</x:v>
      </x:c>
      <x:c r="G18" s="140"/>
      <x:c r="H18" s="140"/>
      <x:c r="I18" s="140"/>
      <x:c r="J18" s="140"/>
      <x:c r="K18" s="140"/>
      <x:c r="L18" s="140"/>
      <x:c r="M18" s="140"/>
      <x:c r="N18" s="140"/>
      <x:c r="O18" s="140"/>
      <x:c r="P18" s="140"/>
      <x:c r="Q18" s="140"/>
      <x:c r="R18" s="140"/>
    </x:row>
    <x:row r="19">
      <x:c r="B19" s="152" t="str">
        <x:v>Other Factor Cother</x:v>
      </x:c>
      <x:c r="C19" s="152" t="str">
        <x:f>IF('01_INPUTS'!C246="","",'01_INPUTS'!C246)</x:f>
      </x:c>
      <x:c r="D19" s="152" t="str"/>
      <x:c r="E19" s="152" t="str">
        <x:v>Controlled source</x:v>
      </x:c>
      <x:c r="F19" s="152" t="str">
        <x:f>IF(C19="","MISSING","OK")</x:f>
        <x:v>MISSING</x:v>
      </x:c>
      <x:c r="G19" s="140"/>
      <x:c r="H19" s="140"/>
      <x:c r="I19" s="140"/>
      <x:c r="J19" s="140"/>
      <x:c r="K19" s="140"/>
      <x:c r="L19" s="140"/>
      <x:c r="M19" s="140"/>
      <x:c r="N19" s="140"/>
      <x:c r="O19" s="140"/>
      <x:c r="P19" s="140"/>
      <x:c r="Q19" s="140"/>
      <x:c r="R19" s="140"/>
    </x:row>
    <x:row r="20">
      <x:c r="B20" s="152" t="str">
        <x:v>Holdown Source Record</x:v>
      </x:c>
      <x:c r="C20" s="152" t="str">
        <x:f>IF('01_INPUTS'!C247="","",'01_INPUTS'!C247)</x:f>
      </x:c>
      <x:c r="D20" s="152" t="str"/>
      <x:c r="E20" s="152" t="str">
        <x:v>ESR / manufacturer</x:v>
      </x:c>
      <x:c r="F20" s="152" t="str">
        <x:f>IF(C20="","MISSING","OK")</x:f>
        <x:v>MISSING</x:v>
      </x:c>
      <x:c r="G20" s="140"/>
      <x:c r="H20" s="140"/>
      <x:c r="I20" s="140"/>
      <x:c r="J20" s="140"/>
      <x:c r="K20" s="140"/>
      <x:c r="L20" s="140"/>
      <x:c r="M20" s="140"/>
      <x:c r="N20" s="140"/>
      <x:c r="O20" s="140"/>
      <x:c r="P20" s="140"/>
      <x:c r="Q20" s="140"/>
      <x:c r="R20" s="140"/>
    </x:row>
    <x:row r="21">
      <x:c r="B21" s="152" t="str">
        <x:v>Concrete Anchor Design Record</x:v>
      </x:c>
      <x:c r="C21" s="152" t="str">
        <x:f>IF('01_INPUTS'!C248="","",'01_INPUTS'!C248)</x:f>
      </x:c>
      <x:c r="D21" s="152" t="str"/>
      <x:c r="E21" s="152" t="str">
        <x:v>ACI / ESR / engineered calc</x:v>
      </x:c>
      <x:c r="F21" s="152" t="str">
        <x:f>IF(C21="","MISSING","OK")</x:f>
        <x:v>MISSING</x:v>
      </x:c>
      <x:c r="G21" s="140"/>
      <x:c r="H21" s="140"/>
      <x:c r="I21" s="140"/>
      <x:c r="J21" s="140"/>
      <x:c r="K21" s="140"/>
      <x:c r="L21" s="140"/>
      <x:c r="M21" s="140"/>
      <x:c r="N21" s="140"/>
      <x:c r="O21" s="140"/>
      <x:c r="P21" s="140"/>
      <x:c r="Q21" s="140"/>
      <x:c r="R21" s="140"/>
    </x:row>
    <x:row r="22">
      <x:c r="B22" s="152" t="str">
        <x:v>Review Notes</x:v>
      </x:c>
      <x:c r="C22" s="152" t="str">
        <x:f>IF('01_INPUTS'!C249="","",'01_INPUTS'!C249)</x:f>
      </x:c>
      <x:c r="D22" s="152" t="str"/>
      <x:c r="E22" s="152" t="str">
        <x:v>Engineer review</x:v>
      </x:c>
      <x:c r="F22" s="152" t="str">
        <x:f>IF(C22="","MISSING","OK")</x:f>
        <x:v>MISSING</x:v>
      </x:c>
      <x:c r="G22" s="140"/>
      <x:c r="H22" s="140"/>
      <x:c r="I22" s="140"/>
      <x:c r="J22" s="140"/>
      <x:c r="K22" s="140"/>
      <x:c r="L22" s="140"/>
      <x:c r="M22" s="140"/>
      <x:c r="N22" s="140"/>
      <x:c r="O22" s="140"/>
      <x:c r="P22" s="140"/>
      <x:c r="Q22" s="140"/>
      <x:c r="R22" s="140"/>
    </x:row>
    <x:row r="23">
      <x:c r="B23" s="140"/>
      <x:c r="C23" s="140"/>
      <x:c r="D23" s="140"/>
      <x:c r="E23" s="140"/>
      <x:c r="F23" s="140"/>
      <x:c r="G23" s="140"/>
      <x:c r="H23" s="140"/>
      <x:c r="I23" s="140"/>
      <x:c r="J23" s="140"/>
      <x:c r="K23" s="140"/>
      <x:c r="L23" s="140"/>
      <x:c r="M23" s="140"/>
      <x:c r="N23" s="140"/>
      <x:c r="O23" s="140"/>
      <x:c r="P23" s="140"/>
      <x:c r="Q23" s="140"/>
      <x:c r="R23" s="140"/>
    </x:row>
    <x:row r="24">
      <x:c r="B24" s="140"/>
      <x:c r="C24" s="140"/>
      <x:c r="D24" s="140"/>
      <x:c r="E24" s="140"/>
      <x:c r="F24" s="140"/>
      <x:c r="G24" s="140"/>
      <x:c r="H24" s="140"/>
      <x:c r="I24" s="140"/>
      <x:c r="J24" s="140"/>
      <x:c r="K24" s="140"/>
      <x:c r="L24" s="140"/>
      <x:c r="M24" s="140"/>
      <x:c r="N24" s="140"/>
      <x:c r="O24" s="140"/>
      <x:c r="P24" s="140"/>
      <x:c r="Q24" s="140"/>
      <x:c r="R24" s="140"/>
    </x:row>
    <x:row r="25">
      <x:c r="B25" s="140"/>
      <x:c r="C25" s="140"/>
      <x:c r="D25" s="140"/>
      <x:c r="E25" s="140"/>
      <x:c r="F25" s="140"/>
      <x:c r="G25" s="140"/>
      <x:c r="H25" s="140"/>
      <x:c r="I25" s="140"/>
      <x:c r="J25" s="140"/>
      <x:c r="K25" s="140"/>
      <x:c r="L25" s="140"/>
      <x:c r="M25" s="140"/>
      <x:c r="N25" s="140"/>
      <x:c r="O25" s="140"/>
      <x:c r="P25" s="140"/>
      <x:c r="Q25" s="140"/>
      <x:c r="R25" s="140"/>
    </x:row>
    <x:row r="26">
      <x:c r="B26" s="140"/>
      <x:c r="C26" s="140"/>
      <x:c r="D26" s="140"/>
      <x:c r="E26" s="140"/>
      <x:c r="F26" s="140"/>
      <x:c r="G26" s="140"/>
      <x:c r="H26" s="140"/>
      <x:c r="I26" s="140"/>
      <x:c r="J26" s="140"/>
      <x:c r="K26" s="140"/>
      <x:c r="L26" s="140"/>
      <x:c r="M26" s="140"/>
      <x:c r="N26" s="140"/>
      <x:c r="O26" s="140"/>
      <x:c r="P26" s="140"/>
      <x:c r="Q26" s="140"/>
      <x:c r="R26" s="140"/>
    </x:row>
    <x:row r="27">
      <x:c r="B27" s="437" t="str">
        <x:v>STRENGTH / DEFORMATION CHECK</x:v>
      </x:c>
      <x:c r="C27" s="437"/>
      <x:c r="D27" s="437"/>
      <x:c r="E27" s="437"/>
      <x:c r="F27" s="437"/>
      <x:c r="G27" s="140"/>
      <x:c r="H27" s="140"/>
      <x:c r="I27" s="140"/>
      <x:c r="J27" s="140"/>
      <x:c r="K27" s="140"/>
      <x:c r="L27" s="140"/>
      <x:c r="M27" s="140"/>
      <x:c r="N27" s="140"/>
      <x:c r="O27" s="140"/>
      <x:c r="P27" s="140"/>
      <x:c r="Q27" s="140"/>
      <x:c r="R27" s="140"/>
    </x:row>
    <x:row r="28">
      <x:c r="B28" s="450" t="str">
        <x:v>Check</x:v>
      </x:c>
      <x:c r="C28" s="450" t="str">
        <x:v>Result</x:v>
      </x:c>
      <x:c r="D28" s="450" t="str">
        <x:v>Unit</x:v>
      </x:c>
      <x:c r="E28" s="450" t="str">
        <x:v>Basis</x:v>
      </x:c>
      <x:c r="F28" s="140"/>
      <x:c r="G28" s="140"/>
      <x:c r="H28" s="140"/>
      <x:c r="I28" s="140"/>
      <x:c r="J28" s="140"/>
      <x:c r="K28" s="140"/>
      <x:c r="L28" s="140"/>
      <x:c r="M28" s="140"/>
      <x:c r="N28" s="140"/>
      <x:c r="O28" s="140"/>
      <x:c r="P28" s="140"/>
      <x:c r="Q28" s="140"/>
      <x:c r="R28" s="140"/>
    </x:row>
    <x:row r="29">
      <x:c r="B29" s="152" t="str">
        <x:v>Adjusted Holdown Allowable</x:v>
      </x:c>
      <x:c r="C29" s="415" t="n">
        <x:f>IFERROR(C12*C19,"")</x:f>
        <x:v>0</x:v>
      </x:c>
      <x:c r="D29" s="152" t="str">
        <x:v>lb</x:v>
      </x:c>
      <x:c r="E29" s="152" t="str">
        <x:v>Published allowable × Cother</x:v>
      </x:c>
      <x:c r="F29" s="140"/>
      <x:c r="G29" s="140"/>
      <x:c r="H29" s="140"/>
      <x:c r="I29" s="140"/>
      <x:c r="J29" s="140"/>
      <x:c r="K29" s="140"/>
      <x:c r="L29" s="140"/>
      <x:c r="M29" s="140"/>
      <x:c r="N29" s="140"/>
      <x:c r="O29" s="140"/>
      <x:c r="P29" s="140"/>
      <x:c r="Q29" s="140"/>
      <x:c r="R29" s="140"/>
    </x:row>
    <x:row r="30">
      <x:c r="B30" s="152" t="str">
        <x:v>Holdown Strength D/C</x:v>
      </x:c>
      <x:c r="C30" s="415" t="str">
        <x:f>IFERROR(C11/C29,"")</x:f>
      </x:c>
      <x:c r="D30" s="152" t="str"/>
      <x:c r="E30" s="152" t="str">
        <x:v>T / adjusted allowable</x:v>
      </x:c>
      <x:c r="F30" s="140"/>
      <x:c r="G30" s="140"/>
      <x:c r="H30" s="140"/>
      <x:c r="I30" s="140"/>
      <x:c r="J30" s="140"/>
      <x:c r="K30" s="140"/>
      <x:c r="L30" s="140"/>
      <x:c r="M30" s="140"/>
      <x:c r="N30" s="140"/>
      <x:c r="O30" s="140"/>
      <x:c r="P30" s="140"/>
      <x:c r="Q30" s="140"/>
      <x:c r="R30" s="140"/>
    </x:row>
    <x:row r="31">
      <x:c r="B31" s="152" t="str">
        <x:v>Post Tension D/C</x:v>
      </x:c>
      <x:c r="C31" s="415" t="str">
        <x:f>IFERROR(C11/C18,"")</x:f>
      </x:c>
      <x:c r="D31" s="152" t="str"/>
      <x:c r="E31" s="152" t="str">
        <x:v>T / post allowable</x:v>
      </x:c>
      <x:c r="F31" s="140"/>
      <x:c r="G31" s="140"/>
      <x:c r="H31" s="140"/>
      <x:c r="I31" s="140"/>
      <x:c r="J31" s="140"/>
      <x:c r="K31" s="140"/>
      <x:c r="L31" s="140"/>
      <x:c r="M31" s="140"/>
      <x:c r="N31" s="140"/>
      <x:c r="O31" s="140"/>
      <x:c r="P31" s="140"/>
      <x:c r="Q31" s="140"/>
      <x:c r="R31" s="140"/>
    </x:row>
    <x:row r="32">
      <x:c r="B32" s="152" t="str">
        <x:v>Additional Rod Length</x:v>
      </x:c>
      <x:c r="C32" s="415" t="str">
        <x:f>IF(OR(C14="",C15=""),"",MAX(0,C15-C14))</x:f>
      </x:c>
      <x:c r="D32" s="152" t="str">
        <x:v>in</x:v>
      </x:c>
      <x:c r="E32" s="152" t="str">
        <x:v>Actual − published reference length</x:v>
      </x:c>
      <x:c r="F32" s="140"/>
      <x:c r="G32" s="140"/>
      <x:c r="H32" s="140"/>
      <x:c r="I32" s="140"/>
      <x:c r="J32" s="140"/>
      <x:c r="K32" s="140"/>
      <x:c r="L32" s="140"/>
      <x:c r="M32" s="140"/>
      <x:c r="N32" s="140"/>
      <x:c r="O32" s="140"/>
      <x:c r="P32" s="140"/>
      <x:c r="Q32" s="140"/>
      <x:c r="R32" s="140"/>
    </x:row>
    <x:row r="33">
      <x:c r="B33" s="152" t="str">
        <x:v>Additional Rod Elongation</x:v>
      </x:c>
      <x:c r="C33" s="415" t="str">
        <x:f>IFERROR(C11*C33/(C16*C17),"")</x:f>
      </x:c>
      <x:c r="D33" s="152" t="str">
        <x:v>in</x:v>
      </x:c>
      <x:c r="E33" s="152" t="str">
        <x:v>PL/AE</x:v>
      </x:c>
      <x:c r="F33" s="140"/>
      <x:c r="G33" s="140"/>
      <x:c r="H33" s="140"/>
      <x:c r="I33" s="140"/>
      <x:c r="J33" s="140"/>
      <x:c r="K33" s="140"/>
      <x:c r="L33" s="140"/>
      <x:c r="M33" s="140"/>
      <x:c r="N33" s="140"/>
      <x:c r="O33" s="140"/>
      <x:c r="P33" s="140"/>
      <x:c r="Q33" s="140"/>
      <x:c r="R33" s="140"/>
    </x:row>
    <x:row r="34">
      <x:c r="B34" s="152" t="str">
        <x:v>Scaled Published Deformation</x:v>
      </x:c>
      <x:c r="C34" s="415" t="str">
        <x:f>IFERROR(C13*C11/C12,"")</x:f>
      </x:c>
      <x:c r="D34" s="152" t="str">
        <x:v>in</x:v>
      </x:c>
      <x:c r="E34" s="152" t="str">
        <x:v>Linear screening estimate at actual demand</x:v>
      </x:c>
      <x:c r="F34" s="140"/>
      <x:c r="G34" s="140"/>
      <x:c r="H34" s="140"/>
      <x:c r="I34" s="140"/>
      <x:c r="J34" s="140"/>
      <x:c r="K34" s="140"/>
      <x:c r="L34" s="140"/>
      <x:c r="M34" s="140"/>
      <x:c r="N34" s="140"/>
      <x:c r="O34" s="140"/>
      <x:c r="P34" s="140"/>
      <x:c r="Q34" s="140"/>
      <x:c r="R34" s="140"/>
    </x:row>
    <x:row r="35">
      <x:c r="B35" s="152" t="str">
        <x:v>Estimated Total Holdown Deformation</x:v>
      </x:c>
      <x:c r="C35" s="415" t="n">
        <x:f>IFERROR(C34+C35,"")</x:f>
        <x:v>0</x:v>
      </x:c>
      <x:c r="D35" s="152" t="str">
        <x:v>in</x:v>
      </x:c>
      <x:c r="E35" s="152" t="str">
        <x:v>Published component + extra rod elongation</x:v>
      </x:c>
      <x:c r="F35" s="140"/>
      <x:c r="G35" s="140"/>
      <x:c r="H35" s="140"/>
      <x:c r="I35" s="140"/>
      <x:c r="J35" s="140"/>
      <x:c r="K35" s="140"/>
      <x:c r="L35" s="140"/>
      <x:c r="M35" s="140"/>
      <x:c r="N35" s="140"/>
      <x:c r="O35" s="140"/>
      <x:c r="P35" s="140"/>
      <x:c r="Q35" s="140"/>
      <x:c r="R35" s="140"/>
    </x:row>
    <x:row r="36">
      <x:c r="B36" s="152" t="str">
        <x:v>Governing Strength D/C</x:v>
      </x:c>
      <x:c r="C36" s="415" t="str">
        <x:f>IF(AND(C30="",C31=""),"",MAX(IF(C30="",0,C30),IF(C31="",0,C31)))</x:f>
      </x:c>
      <x:c r="D36" s="152" t="str"/>
      <x:c r="E36" s="152" t="str">
        <x:v>Holdown / post</x:v>
      </x:c>
      <x:c r="F36" s="140"/>
      <x:c r="G36" s="140"/>
      <x:c r="H36" s="140"/>
      <x:c r="I36" s="140"/>
      <x:c r="J36" s="140"/>
      <x:c r="K36" s="140"/>
      <x:c r="L36" s="140"/>
      <x:c r="M36" s="140"/>
      <x:c r="N36" s="140"/>
      <x:c r="O36" s="140"/>
      <x:c r="P36" s="140"/>
      <x:c r="Q36" s="140"/>
      <x:c r="R36" s="140"/>
    </x:row>
    <x:row r="37">
      <x:c r="B37" s="152" t="str">
        <x:v>Strength Status</x:v>
      </x:c>
      <x:c r="C37" s="415" t="str">
        <x:f>IF(C37="","PENDING",IF(C37&lt;=1,"PASS","FAIL"))</x:f>
        <x:v>PENDING</x:v>
      </x:c>
      <x:c r="D37" s="152" t="str"/>
      <x:c r="E37" s="152" t="str">
        <x:v>Demand/capacity</x:v>
      </x:c>
      <x:c r="F37" s="140"/>
      <x:c r="G37" s="140"/>
      <x:c r="H37" s="140"/>
      <x:c r="I37" s="140"/>
      <x:c r="J37" s="140"/>
      <x:c r="K37" s="140"/>
      <x:c r="L37" s="140"/>
      <x:c r="M37" s="140"/>
      <x:c r="N37" s="140"/>
      <x:c r="O37" s="140"/>
      <x:c r="P37" s="140"/>
      <x:c r="Q37" s="140"/>
      <x:c r="R37" s="140"/>
    </x:row>
    <x:row r="38">
      <x:c r="B38" s="140"/>
      <x:c r="C38" s="140"/>
      <x:c r="D38" s="140"/>
      <x:c r="E38" s="140"/>
      <x:c r="F38" s="140"/>
      <x:c r="G38" s="140"/>
      <x:c r="H38" s="140"/>
      <x:c r="I38" s="140"/>
      <x:c r="J38" s="140"/>
      <x:c r="K38" s="140"/>
      <x:c r="L38" s="140"/>
      <x:c r="M38" s="140"/>
      <x:c r="N38" s="140"/>
      <x:c r="O38" s="140"/>
      <x:c r="P38" s="140"/>
      <x:c r="Q38" s="140"/>
      <x:c r="R38" s="140"/>
    </x:row>
    <x:row r="39">
      <x:c r="B39" s="140"/>
      <x:c r="C39" s="140"/>
      <x:c r="D39" s="140"/>
      <x:c r="E39" s="140"/>
      <x:c r="F39" s="140"/>
      <x:c r="G39" s="140"/>
      <x:c r="H39" s="140"/>
      <x:c r="I39" s="140"/>
      <x:c r="J39" s="140"/>
      <x:c r="K39" s="140"/>
      <x:c r="L39" s="140"/>
      <x:c r="M39" s="140"/>
      <x:c r="N39" s="140"/>
      <x:c r="O39" s="140"/>
      <x:c r="P39" s="140"/>
      <x:c r="Q39" s="140"/>
      <x:c r="R39" s="140"/>
    </x:row>
    <x:row r="40">
      <x:c r="B40" s="437" t="str">
        <x:v>CONTROLLED REVIEW GATES</x:v>
      </x:c>
      <x:c r="C40" s="437"/>
      <x:c r="D40" s="437"/>
      <x:c r="E40" s="437"/>
      <x:c r="F40" s="437"/>
      <x:c r="G40" s="437"/>
      <x:c r="H40" s="437"/>
      <x:c r="I40" s="437"/>
      <x:c r="J40" s="437"/>
      <x:c r="K40" s="140"/>
      <x:c r="L40" s="140"/>
      <x:c r="M40" s="140"/>
      <x:c r="N40" s="140"/>
      <x:c r="O40" s="140"/>
      <x:c r="P40" s="140"/>
      <x:c r="Q40" s="140"/>
      <x:c r="R40" s="140"/>
    </x:row>
    <x:row r="41">
      <x:c r="B41" s="450" t="str">
        <x:v>Gate</x:v>
      </x:c>
      <x:c r="C41" s="450" t="str">
        <x:v>Status</x:v>
      </x:c>
      <x:c r="D41" s="450" t="str">
        <x:v>Reason / action</x:v>
      </x:c>
      <x:c r="E41" s="450" t="str"/>
      <x:c r="F41" s="450" t="str"/>
      <x:c r="G41" s="450" t="str"/>
      <x:c r="H41" s="450" t="str"/>
      <x:c r="I41" s="450" t="str"/>
      <x:c r="J41" s="450" t="str"/>
      <x:c r="K41" s="140"/>
      <x:c r="L41" s="140"/>
      <x:c r="M41" s="140"/>
      <x:c r="N41" s="140"/>
      <x:c r="O41" s="140"/>
      <x:c r="P41" s="140"/>
      <x:c r="Q41" s="140"/>
      <x:c r="R41" s="140"/>
    </x:row>
    <x:row r="42" ht="40" customHeight="1">
      <x:c r="B42" s="152" t="str">
        <x:v>Product/source applicability</x:v>
      </x:c>
      <x:c r="C42" s="152" t="str">
        <x:v>REVIEW</x:v>
      </x:c>
      <x:c r="D42" s="152" t="str">
        <x:v>Confirm exact product, fastener schedule, post size/species, installation orientation, load duration, and source edition.</x:v>
      </x:c>
      <x:c r="E42" s="152" t="str"/>
      <x:c r="F42" s="152" t="str"/>
      <x:c r="G42" s="152" t="str"/>
      <x:c r="H42" s="152" t="str"/>
      <x:c r="I42" s="152" t="str"/>
      <x:c r="J42" s="152" t="str"/>
      <x:c r="K42" s="140"/>
      <x:c r="L42" s="140"/>
      <x:c r="M42" s="140"/>
      <x:c r="N42" s="140"/>
      <x:c r="O42" s="140"/>
      <x:c r="P42" s="140"/>
      <x:c r="Q42" s="140"/>
      <x:c r="R42" s="140"/>
    </x:row>
    <x:row r="43" ht="40" customHeight="1">
      <x:c r="B43" s="152" t="str">
        <x:v>Published deformation basis</x:v>
      </x:c>
      <x:c r="C43" s="152" t="str">
        <x:v>REVIEW</x:v>
      </x:c>
      <x:c r="D43" s="152" t="str">
        <x:v>Manufacturer deformation may include fastener slip, holdown deformation, and a stated anchor-rod length; use product-specific data.</x:v>
      </x:c>
      <x:c r="E43" s="152" t="str"/>
      <x:c r="F43" s="152" t="str"/>
      <x:c r="G43" s="152" t="str"/>
      <x:c r="H43" s="152" t="str"/>
      <x:c r="I43" s="152" t="str"/>
      <x:c r="J43" s="152" t="str"/>
      <x:c r="K43" s="140"/>
      <x:c r="L43" s="140"/>
      <x:c r="M43" s="140"/>
      <x:c r="N43" s="140"/>
      <x:c r="O43" s="140"/>
      <x:c r="P43" s="140"/>
      <x:c r="Q43" s="140"/>
      <x:c r="R43" s="140"/>
    </x:row>
    <x:row r="44" ht="40" customHeight="1">
      <x:c r="B44" s="152" t="str">
        <x:v>Concrete anchorage</x:v>
      </x:c>
      <x:c r="C44" s="152" t="str">
        <x:v>REVIEW</x:v>
      </x:c>
      <x:c r="D44" s="152" t="str">
        <x:v>Concrete breakout, pullout, pryout, edge distance, spacing, embedment, reinforcing, and seismic qualification require the governing anchor design.</x:v>
      </x:c>
      <x:c r="E44" s="152" t="str"/>
      <x:c r="F44" s="152" t="str"/>
      <x:c r="G44" s="152" t="str"/>
      <x:c r="H44" s="152" t="str"/>
      <x:c r="I44" s="152" t="str"/>
      <x:c r="J44" s="152" t="str"/>
      <x:c r="K44" s="140"/>
      <x:c r="L44" s="140"/>
      <x:c r="M44" s="140"/>
      <x:c r="N44" s="140"/>
      <x:c r="O44" s="140"/>
      <x:c r="P44" s="140"/>
      <x:c r="Q44" s="140"/>
      <x:c r="R44" s="140"/>
    </x:row>
    <x:row r="45" ht="40" customHeight="1">
      <x:c r="B45" s="152" t="str">
        <x:v>Post / boundary member</x:v>
      </x:c>
      <x:c r="C45" s="152" t="str">
        <x:v>REVIEW</x:v>
      </x:c>
      <x:c r="D45" s="152" t="str">
        <x:v>Check net section, fastener group effects, compression/tension interaction, and local bearing/splitting at the post.</x:v>
      </x:c>
      <x:c r="E45" s="152" t="str"/>
      <x:c r="F45" s="152" t="str"/>
      <x:c r="G45" s="152" t="str"/>
      <x:c r="H45" s="152" t="str"/>
      <x:c r="I45" s="152" t="str"/>
      <x:c r="J45" s="152" t="str"/>
      <x:c r="K45" s="140"/>
      <x:c r="L45" s="140"/>
      <x:c r="M45" s="140"/>
      <x:c r="N45" s="140"/>
      <x:c r="O45" s="140"/>
      <x:c r="P45" s="140"/>
      <x:c r="Q45" s="140"/>
      <x:c r="R45" s="140"/>
    </x:row>
    <x:row r="46" ht="40" customHeight="1">
      <x:c r="B46" s="152" t="str">
        <x:v>Rod/nut/washer</x:v>
      </x:c>
      <x:c r="C46" s="152" t="str">
        <x:v>REVIEW</x:v>
      </x:c>
      <x:c r="D46" s="152" t="str">
        <x:v>Confirm rod grade, tensile area, nut/washer/plate compatibility, couplers, and installation tolerances.</x:v>
      </x:c>
      <x:c r="E46" s="152" t="str"/>
      <x:c r="F46" s="152" t="str"/>
      <x:c r="G46" s="152" t="str"/>
      <x:c r="H46" s="152" t="str"/>
      <x:c r="I46" s="152" t="str"/>
      <x:c r="J46" s="152" t="str"/>
      <x:c r="K46" s="140"/>
      <x:c r="L46" s="140"/>
      <x:c r="M46" s="140"/>
      <x:c r="N46" s="140"/>
      <x:c r="O46" s="140"/>
      <x:c r="P46" s="140"/>
      <x:c r="Q46" s="140"/>
      <x:c r="R46" s="140"/>
    </x:row>
    <x:row r="47" ht="40" customHeight="1">
      <x:c r="B47" s="152" t="str">
        <x:v>Publication gate</x:v>
      </x:c>
      <x:c r="C47" s="152" t="str">
        <x:v>REVIEW</x:v>
      </x:c>
      <x:c r="D47" s="152" t="str">
        <x:v>Engineer review required before permit or construction issue.</x:v>
      </x:c>
      <x:c r="E47" s="152" t="str"/>
      <x:c r="F47" s="152" t="str"/>
      <x:c r="G47" s="152" t="str"/>
      <x:c r="H47" s="152" t="str"/>
      <x:c r="I47" s="152" t="str"/>
      <x:c r="J47" s="152" t="str"/>
      <x:c r="K47" s="140"/>
      <x:c r="L47" s="140"/>
      <x:c r="M47" s="140"/>
      <x:c r="N47" s="140"/>
      <x:c r="O47" s="140"/>
      <x:c r="P47" s="140"/>
      <x:c r="Q47" s="140"/>
      <x:c r="R47" s="140"/>
    </x:row>
    <x:row r="48">
      <x:c r="B48" s="140"/>
      <x:c r="C48" s="140"/>
      <x:c r="D48" s="140"/>
      <x:c r="E48" s="140"/>
      <x:c r="F48" s="140"/>
      <x:c r="G48" s="140"/>
      <x:c r="H48" s="140"/>
      <x:c r="I48" s="140"/>
      <x:c r="J48" s="140"/>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140"/>
      <x:c r="C52" s="140"/>
      <x:c r="D52" s="140"/>
      <x:c r="E52" s="140"/>
      <x:c r="F52" s="140"/>
      <x:c r="G52" s="140"/>
      <x:c r="H52" s="140"/>
      <x:c r="I52" s="140"/>
      <x:c r="J52" s="140"/>
      <x:c r="K52" s="140"/>
      <x:c r="L52" s="140"/>
      <x:c r="M52" s="140"/>
      <x:c r="N52" s="140"/>
      <x:c r="O52" s="140"/>
      <x:c r="P52" s="140"/>
      <x:c r="Q52" s="140"/>
      <x:c r="R52" s="140"/>
    </x:row>
    <x:row r="53">
      <x:c r="B53" s="140"/>
      <x:c r="C53" s="140"/>
      <x:c r="D53" s="140"/>
      <x:c r="E53" s="140"/>
      <x:c r="F53" s="140"/>
      <x:c r="G53" s="140"/>
      <x:c r="H53" s="140"/>
      <x:c r="I53" s="140"/>
      <x:c r="J53" s="140"/>
      <x:c r="K53" s="140"/>
      <x:c r="L53" s="140"/>
      <x:c r="M53" s="140"/>
      <x:c r="N53" s="140"/>
      <x:c r="O53" s="140"/>
      <x:c r="P53" s="140"/>
      <x:c r="Q53" s="140"/>
      <x:c r="R53" s="140"/>
    </x:row>
    <x:row r="54">
      <x:c r="B54" s="140"/>
      <x:c r="C54" s="140"/>
      <x:c r="D54" s="140"/>
      <x:c r="E54" s="140"/>
      <x:c r="F54" s="140"/>
      <x:c r="G54" s="140"/>
      <x:c r="H54" s="140"/>
      <x:c r="I54" s="140"/>
      <x:c r="J54" s="140"/>
      <x:c r="K54" s="140"/>
      <x:c r="L54" s="140"/>
      <x:c r="M54" s="140"/>
      <x:c r="N54" s="140"/>
      <x:c r="O54" s="140"/>
      <x:c r="P54" s="140"/>
      <x:c r="Q54" s="140"/>
      <x:c r="R54" s="140"/>
    </x:row>
    <x:row r="55">
      <x:c r="B55" s="140"/>
      <x:c r="C55" s="140"/>
      <x:c r="D55" s="140"/>
      <x:c r="E55" s="140"/>
      <x:c r="F55" s="140"/>
      <x:c r="G55" s="140"/>
      <x:c r="H55" s="140"/>
      <x:c r="I55" s="140"/>
      <x:c r="J55" s="140"/>
      <x:c r="K55" s="140"/>
      <x:c r="L55" s="140"/>
      <x:c r="M55" s="140"/>
      <x:c r="N55" s="140"/>
      <x:c r="O55" s="140"/>
      <x:c r="P55" s="140"/>
      <x:c r="Q55" s="140"/>
      <x:c r="R55" s="140"/>
    </x:row>
    <x:row r="56">
      <x:c r="B56" s="140"/>
      <x:c r="C56" s="140"/>
      <x:c r="D56" s="140"/>
      <x:c r="E56" s="140"/>
      <x:c r="F56" s="140"/>
      <x:c r="G56" s="140"/>
      <x:c r="H56" s="140"/>
      <x:c r="I56" s="140"/>
      <x:c r="J56" s="140"/>
      <x:c r="K56" s="140"/>
      <x:c r="L56" s="140"/>
      <x:c r="M56" s="140"/>
      <x:c r="N56" s="140"/>
      <x:c r="O56" s="140"/>
      <x:c r="P56" s="140"/>
      <x:c r="Q56" s="140"/>
      <x:c r="R56" s="140"/>
    </x:row>
    <x:row r="57">
      <x:c r="B57" s="140"/>
      <x:c r="C57" s="140"/>
      <x:c r="D57" s="140"/>
      <x:c r="E57" s="140"/>
      <x:c r="F57" s="140"/>
      <x:c r="G57" s="140"/>
      <x:c r="H57" s="140"/>
      <x:c r="I57" s="140"/>
      <x:c r="J57" s="140"/>
      <x:c r="K57" s="140"/>
      <x:c r="L57" s="140"/>
      <x:c r="M57" s="140"/>
      <x:c r="N57" s="140"/>
      <x:c r="O57" s="140"/>
      <x:c r="P57" s="140"/>
      <x:c r="Q57" s="140"/>
      <x:c r="R57" s="140"/>
    </x:row>
    <x:row r="58">
      <x:c r="B58" s="140"/>
      <x:c r="C58" s="140"/>
      <x:c r="D58" s="140"/>
      <x:c r="E58" s="140"/>
      <x:c r="F58" s="140"/>
      <x:c r="G58" s="140"/>
      <x:c r="H58" s="140"/>
      <x:c r="I58" s="140"/>
      <x:c r="J58" s="140"/>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H6:J6"/>
    <x:mergeCell ref="B27:F27"/>
    <x:mergeCell ref="B40:J40"/>
    <x:mergeCell ref="D42:J42"/>
    <x:mergeCell ref="D43:J43"/>
    <x:mergeCell ref="D44:J44"/>
    <x:mergeCell ref="D45:J45"/>
    <x:mergeCell ref="D46:J46"/>
    <x:mergeCell ref="D47:J47"/>
    <x:mergeCell ref="M2:R2"/>
  </x:mergeCells>
  <x:conditionalFormatting sqref="I7:I13">
    <x:cfRule type="expression" dxfId="131" priority="1">
      <x:formula>I7="PASS"</x:formula>
    </x:cfRule>
    <x:cfRule type="expression" dxfId="132" priority="2">
      <x:formula>I7="FAIL"</x:formula>
    </x:cfRule>
    <x:cfRule type="expression" dxfId="133" priority="3">
      <x:formula>OR(I7="REVIEW",I7="PENDING",I7="CHECK")</x:formula>
    </x:cfRule>
  </x:conditionalFormatting>
  <x:conditionalFormatting sqref="F8:F22">
    <x:cfRule type="expression" dxfId="134" priority="4">
      <x:formula>F8="PASS"</x:formula>
    </x:cfRule>
    <x:cfRule type="expression" dxfId="135" priority="5">
      <x:formula>F8="FAIL"</x:formula>
    </x:cfRule>
    <x:cfRule type="expression" dxfId="136" priority="6">
      <x:formula>OR(F8="REVIEW",F8="PENDING",F8="CHECK")</x:formula>
    </x:cfRule>
  </x:conditionalFormatting>
  <x:conditionalFormatting sqref="C37:C37">
    <x:cfRule type="expression" dxfId="137" priority="7">
      <x:formula>C37="PASS"</x:formula>
    </x:cfRule>
    <x:cfRule type="expression" dxfId="138" priority="8">
      <x:formula>C37="FAIL"</x:formula>
    </x:cfRule>
    <x:cfRule type="expression" dxfId="139" priority="9">
      <x:formula>OR(C37="REVIEW",C37="PENDING",C37="CHECK")</x:formula>
    </x:cfRule>
  </x:conditionalFormatting>
  <x:conditionalFormatting sqref="R4:R11">
    <x:cfRule type="expression" dxfId="140" priority="10">
      <x:formula>R4="PASS"</x:formula>
    </x:cfRule>
    <x:cfRule type="expression" dxfId="141" priority="11">
      <x:formula>R4="FAIL"</x:formula>
    </x:cfRule>
    <x:cfRule type="expression" dxfId="142" priority="12">
      <x:formula>OR(R4="REVIEW",R4="PENDING",R4="CHECK")</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2" max="2" width="32" hidden="0" customWidth="1"/>
    <x:col min="3" max="3" width="20" hidden="0" customWidth="1"/>
    <x:col min="4" max="4" width="12" hidden="0" customWidth="1"/>
    <x:col min="5" max="5" width="42" hidden="0" customWidth="1"/>
    <x:col min="6" max="6" width="12" hidden="0" customWidth="1"/>
    <x:col min="8" max="8" width="25" hidden="0" customWidth="1"/>
    <x:col min="9" max="9" width="14" hidden="0" customWidth="1"/>
    <x:col min="13" max="13" width="18" hidden="0" customWidth="1"/>
    <x:col min="14" max="14" width="44" hidden="0" customWidth="1"/>
    <x:col min="15" max="15" width="16" hidden="0" customWidth="1"/>
    <x:col min="16" max="16" width="16"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441" t="str">
        <x:v>SILL / ANCHOR-LINE DESIGN ENGINE</x:v>
      </x:c>
      <x:c r="C2" s="441"/>
      <x:c r="D2" s="441"/>
      <x:c r="E2" s="441"/>
      <x:c r="F2" s="441"/>
      <x:c r="G2" s="441"/>
      <x:c r="H2" s="441"/>
      <x:c r="I2" s="441"/>
      <x:c r="J2" s="441"/>
      <x:c r="K2" s="140"/>
      <x:c r="L2" s="140"/>
      <x:c r="M2" s="437" t="str">
        <x:v>LOCKED MATH QA BENCHMARKS</x:v>
      </x:c>
      <x:c r="N2" s="437"/>
      <x:c r="O2" s="437"/>
      <x:c r="P2" s="437"/>
      <x:c r="Q2" s="437"/>
      <x:c r="R2" s="437"/>
    </x:row>
    <x:row r="3">
      <x:c r="B3" s="140"/>
      <x:c r="C3" s="140"/>
      <x:c r="D3" s="140"/>
      <x:c r="E3" s="140"/>
      <x:c r="F3" s="140"/>
      <x:c r="G3" s="140"/>
      <x:c r="H3" s="140"/>
      <x:c r="I3" s="140"/>
      <x:c r="J3" s="140"/>
      <x:c r="K3" s="140"/>
      <x:c r="L3" s="140"/>
      <x:c r="M3" s="450" t="str">
        <x:v>Test</x:v>
      </x:c>
      <x:c r="N3" s="450" t="str">
        <x:v>Inputs</x:v>
      </x:c>
      <x:c r="O3" s="450" t="str">
        <x:v>Expected</x:v>
      </x:c>
      <x:c r="P3" s="450" t="str">
        <x:v>Workbook</x:v>
      </x:c>
      <x:c r="Q3" s="450" t="str">
        <x:v>Abs Diff</x:v>
      </x:c>
      <x:c r="R3" s="450" t="str">
        <x:v>Status</x:v>
      </x:c>
    </x:row>
    <x:row r="4" ht="54" customHeight="1">
      <x:c r="B4" s="444" t="str">
        <x:v>Scope: anchor-line demand/capacity, required-anchor count, average spacing, and source traceability. Single-anchor shear/tension capacities must come from the governing concrete-anchor calculation, evaluation report, or approved source. This module does not replace ACI/ESR concrete breakout, pullout, pryout, edge/spacing, seismic qualification, or sill-plate detailing checks.</x:v>
      </x:c>
      <x:c r="C4" s="444"/>
      <x:c r="D4" s="444"/>
      <x:c r="E4" s="444"/>
      <x:c r="F4" s="444"/>
      <x:c r="G4" s="444"/>
      <x:c r="H4" s="444"/>
      <x:c r="I4" s="444"/>
      <x:c r="J4" s="444"/>
      <x:c r="K4" s="140"/>
      <x:c r="L4" s="140"/>
      <x:c r="M4" s="152" t="str">
        <x:v>ANCH-QA-01</x:v>
      </x:c>
      <x:c r="N4" s="152" t="str">
        <x:v>Shear cap 900×6×0.9</x:v>
      </x:c>
      <x:c r="O4" s="415" t="n">
        <x:v>4860</x:v>
      </x:c>
      <x:c r="P4" s="415" t="n">
        <x:f>900*6*0.9</x:f>
        <x:v>4860</x:v>
      </x:c>
      <x:c r="Q4" s="415" t="n">
        <x:f>ABS(O4-P4)</x:f>
        <x:v>0</x:v>
      </x:c>
      <x:c r="R4" s="152" t="str">
        <x:f>IF(Q4&lt;1E-9,"PASS","FAIL")</x:f>
        <x:v>PASS</x:v>
      </x:c>
    </x:row>
    <x:row r="5">
      <x:c r="B5" s="140"/>
      <x:c r="C5" s="140"/>
      <x:c r="D5" s="140"/>
      <x:c r="E5" s="140"/>
      <x:c r="F5" s="140"/>
      <x:c r="G5" s="140"/>
      <x:c r="H5" s="140"/>
      <x:c r="I5" s="140"/>
      <x:c r="J5" s="140"/>
      <x:c r="K5" s="140"/>
      <x:c r="L5" s="140"/>
      <x:c r="M5" s="152" t="str">
        <x:v>ANCH-QA-02</x:v>
      </x:c>
      <x:c r="N5" s="152" t="str">
        <x:v>Tension cap 700×6×0.9</x:v>
      </x:c>
      <x:c r="O5" s="415" t="n">
        <x:v>3780</x:v>
      </x:c>
      <x:c r="P5" s="415" t="n">
        <x:f>700*6*0.9</x:f>
        <x:v>3780</x:v>
      </x:c>
      <x:c r="Q5" s="415" t="n">
        <x:f>ABS(O5-P5)</x:f>
        <x:v>0</x:v>
      </x:c>
      <x:c r="R5" s="152" t="str">
        <x:f>IF(Q5&lt;1E-9,"PASS","FAIL")</x:f>
        <x:v>PASS</x:v>
      </x:c>
    </x:row>
    <x:row r="6">
      <x:c r="B6" s="437" t="str">
        <x:v>ANCHOR-LINE BASIS</x:v>
      </x:c>
      <x:c r="C6" s="437"/>
      <x:c r="D6" s="437"/>
      <x:c r="E6" s="437"/>
      <x:c r="F6" s="437"/>
      <x:c r="G6" s="140"/>
      <x:c r="H6" s="437" t="str">
        <x:v>MODULE STATUS</x:v>
      </x:c>
      <x:c r="I6" s="437"/>
      <x:c r="J6" s="437"/>
      <x:c r="K6" s="140"/>
      <x:c r="L6" s="140"/>
      <x:c r="M6" s="152" t="str">
        <x:v>ANCH-QA-03</x:v>
      </x:c>
      <x:c r="N6" s="152" t="str">
        <x:v>Shear D/C 3000/4860</x:v>
      </x:c>
      <x:c r="O6" s="415" t="n">
        <x:v>0.617283950617284</x:v>
      </x:c>
      <x:c r="P6" s="415" t="n">
        <x:f>3000/4860</x:f>
        <x:v>0.6172839506172839</x:v>
      </x:c>
      <x:c r="Q6" s="415" t="n">
        <x:f>ABS(O6-P6)</x:f>
        <x:v>1.1102230246251565e-16</x:v>
      </x:c>
      <x:c r="R6" s="152" t="str">
        <x:f>IF(Q6&lt;1E-9,"PASS","FAIL")</x:f>
        <x:v>PASS</x:v>
      </x:c>
    </x:row>
    <x:row r="7">
      <x:c r="B7" s="450" t="str">
        <x:v>Parameter</x:v>
      </x:c>
      <x:c r="C7" s="450" t="str">
        <x:v>Value</x:v>
      </x:c>
      <x:c r="D7" s="450" t="str">
        <x:v>Unit</x:v>
      </x:c>
      <x:c r="E7" s="450" t="str">
        <x:v>Source / Basis</x:v>
      </x:c>
      <x:c r="F7" s="450" t="str">
        <x:v>Status</x:v>
      </x:c>
      <x:c r="G7" s="140"/>
      <x:c r="H7" s="450" t="str">
        <x:v>Input Completeness</x:v>
      </x:c>
      <x:c r="I7" s="450" t="str">
        <x:f>IF(COUNTIF(F8:F22,"MISSING")=0,"READY","PENDING")</x:f>
        <x:v>PENDING</x:v>
      </x:c>
      <x:c r="J7" s="140"/>
      <x:c r="K7" s="140"/>
      <x:c r="L7" s="140"/>
      <x:c r="M7" s="152" t="str">
        <x:v>ANCH-QA-04</x:v>
      </x:c>
      <x:c r="N7" s="152" t="str">
        <x:v>Req anchors shear</x:v>
      </x:c>
      <x:c r="O7" s="415" t="n">
        <x:v>4</x:v>
      </x:c>
      <x:c r="P7" s="415" t="n">
        <x:f>CEILING(3000/(900*0.9),1)</x:f>
        <x:v>4</x:v>
      </x:c>
      <x:c r="Q7" s="415" t="n">
        <x:f>ABS(O7-P7)</x:f>
        <x:v>0</x:v>
      </x:c>
      <x:c r="R7" s="152" t="str">
        <x:f>IF(Q7&lt;1E-9,"PASS","FAIL")</x:f>
        <x:v>PASS</x:v>
      </x:c>
    </x:row>
    <x:row r="8">
      <x:c r="B8" s="152" t="str">
        <x:v>Anchor Line Mark</x:v>
      </x:c>
      <x:c r="C8" s="152" t="str">
        <x:f>IF('01_INPUTS'!C252="","",'01_INPUTS'!C252)</x:f>
      </x:c>
      <x:c r="D8" s="152" t="str"/>
      <x:c r="E8" s="152" t="str">
        <x:v>01_INPUTS</x:v>
      </x:c>
      <x:c r="F8" s="152" t="str">
        <x:f>IF(C8="","MISSING","OK")</x:f>
        <x:v>MISSING</x:v>
      </x:c>
      <x:c r="G8" s="140"/>
      <x:c r="H8" s="450" t="str">
        <x:v>Shear</x:v>
      </x:c>
      <x:c r="I8" s="450" t="str">
        <x:f>IF(C31="","PENDING",IF(C31&lt;=1,"PASS","FAIL"))</x:f>
        <x:v>PENDING</x:v>
      </x:c>
      <x:c r="J8" s="140"/>
      <x:c r="K8" s="140"/>
      <x:c r="L8" s="140"/>
      <x:c r="M8" s="152" t="str">
        <x:v>ANCH-QA-05</x:v>
      </x:c>
      <x:c r="N8" s="152" t="str">
        <x:v>Avg spacing L=20 ft,n=6</x:v>
      </x:c>
      <x:c r="O8" s="415" t="n">
        <x:v>48</x:v>
      </x:c>
      <x:c r="P8" s="415" t="n">
        <x:f>20*12/(6-1)</x:f>
        <x:v>48</x:v>
      </x:c>
      <x:c r="Q8" s="415" t="n">
        <x:f>ABS(O8-P8)</x:f>
        <x:v>0</x:v>
      </x:c>
      <x:c r="R8" s="152" t="str">
        <x:f>IF(Q8&lt;1E-9,"PASS","FAIL")</x:f>
        <x:v>PASS</x:v>
      </x:c>
    </x:row>
    <x:row r="9">
      <x:c r="B9" s="152" t="str">
        <x:v>Associated Wall Line</x:v>
      </x:c>
      <x:c r="C9" s="152" t="str">
        <x:f>IF('01_INPUTS'!C253="","",'01_INPUTS'!C253)</x:f>
      </x:c>
      <x:c r="D9" s="152" t="str"/>
      <x:c r="E9" s="152" t="str">
        <x:v>01_INPUTS</x:v>
      </x:c>
      <x:c r="F9" s="152" t="str">
        <x:f>IF(C9="","MISSING","OK")</x:f>
        <x:v>MISSING</x:v>
      </x:c>
      <x:c r="G9" s="140"/>
      <x:c r="H9" s="450" t="str">
        <x:v>Tension</x:v>
      </x:c>
      <x:c r="I9" s="450" t="str">
        <x:f>IF(C32="","PENDING",IF(C32&lt;=1,"PASS","FAIL"))</x:f>
        <x:v>PENDING</x:v>
      </x:c>
      <x:c r="J9" s="140"/>
      <x:c r="K9" s="140"/>
      <x:c r="L9" s="140"/>
      <x:c r="M9" s="152" t="str">
        <x:v>ANCH-QA-06</x:v>
      </x:c>
      <x:c r="N9" s="152" t="str">
        <x:v>Spacing utilization 48/72</x:v>
      </x:c>
      <x:c r="O9" s="415" t="n">
        <x:v>0.6666666666666666</x:v>
      </x:c>
      <x:c r="P9" s="415" t="n">
        <x:f>48/72</x:f>
        <x:v>0.6666666666666666</x:v>
      </x:c>
      <x:c r="Q9" s="415" t="n">
        <x:f>ABS(O9-P9)</x:f>
        <x:v>0</x:v>
      </x:c>
      <x:c r="R9" s="152" t="str">
        <x:f>IF(Q9&lt;1E-9,"PASS","FAIL")</x:f>
        <x:v>PASS</x:v>
      </x:c>
    </x:row>
    <x:row r="10">
      <x:c r="B10" s="152" t="str">
        <x:v>Anchor Type</x:v>
      </x:c>
      <x:c r="C10" s="152" t="str">
        <x:f>IF('01_INPUTS'!C254="","",'01_INPUTS'!C254)</x:f>
      </x:c>
      <x:c r="D10" s="152" t="str"/>
      <x:c r="E10" s="152" t="str">
        <x:v>01_INPUTS</x:v>
      </x:c>
      <x:c r="F10" s="152" t="str">
        <x:f>IF(C10="","MISSING","OK")</x:f>
        <x:v>MISSING</x:v>
      </x:c>
      <x:c r="G10" s="140"/>
      <x:c r="H10" s="450" t="str">
        <x:v>Spacing</x:v>
      </x:c>
      <x:c r="I10" s="450" t="str">
        <x:f>IF(C36="","PENDING",IF(C36&lt;=C18,"PASS","FAIL"))</x:f>
        <x:v>PENDING</x:v>
      </x:c>
      <x:c r="J10" s="140"/>
      <x:c r="K10" s="140"/>
      <x:c r="L10" s="140"/>
      <x:c r="M10" s="152"/>
      <x:c r="N10" s="152"/>
      <x:c r="O10" s="152"/>
      <x:c r="P10" s="152"/>
      <x:c r="Q10" s="152"/>
      <x:c r="R10" s="152"/>
    </x:row>
    <x:row r="11">
      <x:c r="B11" s="152" t="str">
        <x:v>Shear Demand V</x:v>
      </x:c>
      <x:c r="C11" s="152" t="str">
        <x:f>IF('01_INPUTS'!C255="","",'01_INPUTS'!C255)</x:f>
      </x:c>
      <x:c r="D11" s="152" t="str">
        <x:v>lb</x:v>
      </x:c>
      <x:c r="E11" s="152" t="str">
        <x:v>Load path</x:v>
      </x:c>
      <x:c r="F11" s="152" t="str">
        <x:f>IF(C11="","MISSING","OK")</x:f>
        <x:v>MISSING</x:v>
      </x:c>
      <x:c r="G11" s="140"/>
      <x:c r="H11" s="450" t="str">
        <x:v>Concrete / Geometry Reviews</x:v>
      </x:c>
      <x:c r="I11" s="450" t="str">
        <x:f>IF(AND(C20="REVIEWED",C21="REVIEWED"),"PASS","REVIEW")</x:f>
        <x:v>REVIEW</x:v>
      </x:c>
      <x:c r="J11" s="140"/>
      <x:c r="K11" s="140"/>
      <x:c r="L11" s="140"/>
      <x:c r="M11" s="152" t="str">
        <x:v>Benchmark Overall</x:v>
      </x:c>
      <x:c r="N11" s="152" t="str"/>
      <x:c r="O11" s="152" t="str"/>
      <x:c r="P11" s="152" t="str"/>
      <x:c r="Q11" s="152" t="str"/>
      <x:c r="R11" s="152" t="str">
        <x:f>IF(COUNTIF(R4:R9,"FAIL")=0,"PASS","FAIL")</x:f>
        <x:v>PASS</x:v>
      </x:c>
    </x:row>
    <x:row r="12">
      <x:c r="B12" s="152" t="str">
        <x:v>Uplift Demand T</x:v>
      </x:c>
      <x:c r="C12" s="152" t="str">
        <x:f>IF('01_INPUTS'!C256="","",'01_INPUTS'!C256)</x:f>
      </x:c>
      <x:c r="D12" s="152" t="str">
        <x:v>lb</x:v>
      </x:c>
      <x:c r="E12" s="152" t="str">
        <x:v>Load path</x:v>
      </x:c>
      <x:c r="F12" s="152" t="str">
        <x:f>IF(C12="","MISSING","OK")</x:f>
        <x:v>MISSING</x:v>
      </x:c>
      <x:c r="G12" s="140"/>
      <x:c r="H12" s="450" t="str">
        <x:v>Math Cross-Checks</x:v>
      </x:c>
      <x:c r="I12" s="450" t="str">
        <x:f>IF(R9="PASS","PASS","CHECK")</x:f>
        <x:v>PASS</x:v>
      </x:c>
      <x:c r="J12" s="140"/>
      <x:c r="K12" s="140"/>
      <x:c r="L12" s="140"/>
      <x:c r="M12" s="140"/>
      <x:c r="N12" s="140"/>
      <x:c r="O12" s="140"/>
      <x:c r="P12" s="140"/>
      <x:c r="Q12" s="140"/>
      <x:c r="R12" s="140"/>
    </x:row>
    <x:row r="13">
      <x:c r="B13" s="152" t="str">
        <x:v>Anchored Length L</x:v>
      </x:c>
      <x:c r="C13" s="152" t="str">
        <x:f>IF('01_INPUTS'!C257="","",'01_INPUTS'!C257)</x:f>
      </x:c>
      <x:c r="D13" s="152" t="str">
        <x:v>ft</x:v>
      </x:c>
      <x:c r="E13" s="152" t="str">
        <x:v>Project geometry</x:v>
      </x:c>
      <x:c r="F13" s="152" t="str">
        <x:f>IF(C13="","MISSING","OK")</x:f>
        <x:v>MISSING</x:v>
      </x:c>
      <x:c r="G13" s="140"/>
      <x:c r="H13" s="450" t="str">
        <x:v>Overall</x:v>
      </x:c>
      <x:c r="I13" s="450" t="str">
        <x:f>IF(OR(I8="PENDING",I9="PENDING",I10="PENDING"),"PENDING",IF(OR(I8="FAIL",I9="FAIL",I10="FAIL"),"FAIL","REVIEW"))</x:f>
        <x:v>PENDING</x:v>
      </x:c>
      <x:c r="J13" s="140"/>
      <x:c r="K13" s="140"/>
      <x:c r="L13" s="140"/>
      <x:c r="M13" s="140"/>
      <x:c r="N13" s="140"/>
      <x:c r="O13" s="140"/>
      <x:c r="P13" s="140"/>
      <x:c r="Q13" s="140"/>
      <x:c r="R13" s="140"/>
    </x:row>
    <x:row r="14">
      <x:c r="B14" s="152" t="str">
        <x:v>Single-Anchor Allowable Shear</x:v>
      </x:c>
      <x:c r="C14" s="152" t="str">
        <x:f>IF('01_INPUTS'!C258="","",'01_INPUTS'!C258)</x:f>
      </x:c>
      <x:c r="D14" s="152" t="str">
        <x:v>lb</x:v>
      </x:c>
      <x:c r="E14" s="152" t="str">
        <x:v>Concrete anchor design / ESR</x:v>
      </x:c>
      <x:c r="F14" s="152" t="str">
        <x:f>IF(C14="","MISSING","OK")</x:f>
        <x:v>MISSING</x:v>
      </x:c>
      <x:c r="G14" s="140"/>
      <x:c r="H14" s="140"/>
      <x:c r="I14" s="140"/>
      <x:c r="J14" s="140"/>
      <x:c r="K14" s="140"/>
      <x:c r="L14" s="140"/>
      <x:c r="M14" s="140"/>
      <x:c r="N14" s="140"/>
      <x:c r="O14" s="140"/>
      <x:c r="P14" s="140"/>
      <x:c r="Q14" s="140"/>
      <x:c r="R14" s="140"/>
    </x:row>
    <x:row r="15">
      <x:c r="B15" s="152" t="str">
        <x:v>Single-Anchor Allowable Tension</x:v>
      </x:c>
      <x:c r="C15" s="152" t="str">
        <x:f>IF('01_INPUTS'!C259="","",'01_INPUTS'!C259)</x:f>
      </x:c>
      <x:c r="D15" s="152" t="str">
        <x:v>lb</x:v>
      </x:c>
      <x:c r="E15" s="152" t="str">
        <x:v>Concrete anchor design / ESR</x:v>
      </x:c>
      <x:c r="F15" s="152" t="str">
        <x:f>IF(C15="","MISSING","OK")</x:f>
        <x:v>MISSING</x:v>
      </x:c>
      <x:c r="G15" s="140"/>
      <x:c r="H15" s="140"/>
      <x:c r="I15" s="140"/>
      <x:c r="J15" s="140"/>
      <x:c r="K15" s="140"/>
      <x:c r="L15" s="140"/>
      <x:c r="M15" s="140"/>
      <x:c r="N15" s="140"/>
      <x:c r="O15" s="140"/>
      <x:c r="P15" s="140"/>
      <x:c r="Q15" s="140"/>
      <x:c r="R15" s="140"/>
    </x:row>
    <x:row r="16">
      <x:c r="B16" s="152" t="str">
        <x:v>Anchors Provided n</x:v>
      </x:c>
      <x:c r="C16" s="152" t="str">
        <x:f>IF('01_INPUTS'!C260="","",'01_INPUTS'!C260)</x:f>
      </x:c>
      <x:c r="D16" s="152" t="str">
        <x:v>count</x:v>
      </x:c>
      <x:c r="E16" s="152" t="str">
        <x:v>Plans/detail</x:v>
      </x:c>
      <x:c r="F16" s="152" t="str">
        <x:f>IF(C16="","MISSING","OK")</x:f>
        <x:v>MISSING</x:v>
      </x:c>
      <x:c r="G16" s="140"/>
      <x:c r="H16" s="140"/>
      <x:c r="I16" s="140"/>
      <x:c r="J16" s="140"/>
      <x:c r="K16" s="140"/>
      <x:c r="L16" s="140"/>
      <x:c r="M16" s="140"/>
      <x:c r="N16" s="140"/>
      <x:c r="O16" s="140"/>
      <x:c r="P16" s="140"/>
      <x:c r="Q16" s="140"/>
      <x:c r="R16" s="140"/>
    </x:row>
    <x:row r="17">
      <x:c r="B17" s="152" t="str">
        <x:v>Other Factor Cother</x:v>
      </x:c>
      <x:c r="C17" s="152" t="str">
        <x:f>IF('01_INPUTS'!C261="","",'01_INPUTS'!C261)</x:f>
      </x:c>
      <x:c r="D17" s="152" t="str"/>
      <x:c r="E17" s="152" t="str">
        <x:v>Controlled source</x:v>
      </x:c>
      <x:c r="F17" s="152" t="str">
        <x:f>IF(C17="","MISSING","OK")</x:f>
        <x:v>MISSING</x:v>
      </x:c>
      <x:c r="G17" s="140"/>
      <x:c r="H17" s="140"/>
      <x:c r="I17" s="140"/>
      <x:c r="J17" s="140"/>
      <x:c r="K17" s="140"/>
      <x:c r="L17" s="140"/>
      <x:c r="M17" s="140"/>
      <x:c r="N17" s="140"/>
      <x:c r="O17" s="140"/>
      <x:c r="P17" s="140"/>
      <x:c r="Q17" s="140"/>
      <x:c r="R17" s="140"/>
    </x:row>
    <x:row r="18">
      <x:c r="B18" s="152" t="str">
        <x:v>Maximum Permitted Spacing</x:v>
      </x:c>
      <x:c r="C18" s="152" t="str">
        <x:f>IF('01_INPUTS'!C262="","",'01_INPUTS'!C262)</x:f>
      </x:c>
      <x:c r="D18" s="152" t="str">
        <x:v>in</x:v>
      </x:c>
      <x:c r="E18" s="152" t="str">
        <x:v>Code / detail / ESR</x:v>
      </x:c>
      <x:c r="F18" s="152" t="str">
        <x:f>IF(C18="","MISSING","OK")</x:f>
        <x:v>MISSING</x:v>
      </x:c>
      <x:c r="G18" s="140"/>
      <x:c r="H18" s="140"/>
      <x:c r="I18" s="140"/>
      <x:c r="J18" s="140"/>
      <x:c r="K18" s="140"/>
      <x:c r="L18" s="140"/>
      <x:c r="M18" s="140"/>
      <x:c r="N18" s="140"/>
      <x:c r="O18" s="140"/>
      <x:c r="P18" s="140"/>
      <x:c r="Q18" s="140"/>
      <x:c r="R18" s="140"/>
    </x:row>
    <x:row r="19">
      <x:c r="B19" s="152" t="str">
        <x:v>Capacity Source Record</x:v>
      </x:c>
      <x:c r="C19" s="152" t="str">
        <x:f>IF('01_INPUTS'!C263="","",'01_INPUTS'!C263)</x:f>
      </x:c>
      <x:c r="D19" s="152" t="str"/>
      <x:c r="E19" s="152" t="str">
        <x:v>Source register</x:v>
      </x:c>
      <x:c r="F19" s="152" t="str">
        <x:f>IF(C19="","MISSING","OK")</x:f>
        <x:v>MISSING</x:v>
      </x:c>
      <x:c r="G19" s="140"/>
      <x:c r="H19" s="140"/>
      <x:c r="I19" s="140"/>
      <x:c r="J19" s="140"/>
      <x:c r="K19" s="140"/>
      <x:c r="L19" s="140"/>
      <x:c r="M19" s="140"/>
      <x:c r="N19" s="140"/>
      <x:c r="O19" s="140"/>
      <x:c r="P19" s="140"/>
      <x:c r="Q19" s="140"/>
      <x:c r="R19" s="140"/>
    </x:row>
    <x:row r="20">
      <x:c r="B20" s="152" t="str">
        <x:v>Edge / End Distance Review</x:v>
      </x:c>
      <x:c r="C20" s="152" t="str">
        <x:f>IF('01_INPUTS'!C264="","",'01_INPUTS'!C264)</x:f>
      </x:c>
      <x:c r="D20" s="152" t="str"/>
      <x:c r="E20" s="152" t="str">
        <x:v>Engineer review</x:v>
      </x:c>
      <x:c r="F20" s="152" t="str">
        <x:f>IF(C20="","MISSING","OK")</x:f>
        <x:v>MISSING</x:v>
      </x:c>
      <x:c r="G20" s="140"/>
      <x:c r="H20" s="140"/>
      <x:c r="I20" s="140"/>
      <x:c r="J20" s="140"/>
      <x:c r="K20" s="140"/>
      <x:c r="L20" s="140"/>
      <x:c r="M20" s="140"/>
      <x:c r="N20" s="140"/>
      <x:c r="O20" s="140"/>
      <x:c r="P20" s="140"/>
      <x:c r="Q20" s="140"/>
      <x:c r="R20" s="140"/>
    </x:row>
    <x:row r="21">
      <x:c r="B21" s="152" t="str">
        <x:v>Concrete Failure-Mode Review</x:v>
      </x:c>
      <x:c r="C21" s="152" t="str">
        <x:f>IF('01_INPUTS'!C265="","",'01_INPUTS'!C265)</x:f>
      </x:c>
      <x:c r="D21" s="152" t="str"/>
      <x:c r="E21" s="152" t="str">
        <x:v>Engineer review</x:v>
      </x:c>
      <x:c r="F21" s="152" t="str">
        <x:f>IF(C21="","MISSING","OK")</x:f>
        <x:v>MISSING</x:v>
      </x:c>
      <x:c r="G21" s="140"/>
      <x:c r="H21" s="140"/>
      <x:c r="I21" s="140"/>
      <x:c r="J21" s="140"/>
      <x:c r="K21" s="140"/>
      <x:c r="L21" s="140"/>
      <x:c r="M21" s="140"/>
      <x:c r="N21" s="140"/>
      <x:c r="O21" s="140"/>
      <x:c r="P21" s="140"/>
      <x:c r="Q21" s="140"/>
      <x:c r="R21" s="140"/>
    </x:row>
    <x:row r="22">
      <x:c r="B22" s="152" t="str">
        <x:v>Review Notes</x:v>
      </x:c>
      <x:c r="C22" s="152" t="str">
        <x:f>IF('01_INPUTS'!C266="","",'01_INPUTS'!C266)</x:f>
      </x:c>
      <x:c r="D22" s="152" t="str"/>
      <x:c r="E22" s="152" t="str">
        <x:v>Engineer review</x:v>
      </x:c>
      <x:c r="F22" s="152" t="str">
        <x:f>IF(C22="","MISSING","OK")</x:f>
        <x:v>MISSING</x:v>
      </x:c>
      <x:c r="G22" s="140"/>
      <x:c r="H22" s="140"/>
      <x:c r="I22" s="140"/>
      <x:c r="J22" s="140"/>
      <x:c r="K22" s="140"/>
      <x:c r="L22" s="140"/>
      <x:c r="M22" s="140"/>
      <x:c r="N22" s="140"/>
      <x:c r="O22" s="140"/>
      <x:c r="P22" s="140"/>
      <x:c r="Q22" s="140"/>
      <x:c r="R22" s="140"/>
    </x:row>
    <x:row r="23">
      <x:c r="B23" s="140"/>
      <x:c r="C23" s="140"/>
      <x:c r="D23" s="140"/>
      <x:c r="E23" s="140"/>
      <x:c r="F23" s="140"/>
      <x:c r="G23" s="140"/>
      <x:c r="H23" s="140"/>
      <x:c r="I23" s="140"/>
      <x:c r="J23" s="140"/>
      <x:c r="K23" s="140"/>
      <x:c r="L23" s="140"/>
      <x:c r="M23" s="140"/>
      <x:c r="N23" s="140"/>
      <x:c r="O23" s="140"/>
      <x:c r="P23" s="140"/>
      <x:c r="Q23" s="140"/>
      <x:c r="R23" s="140"/>
    </x:row>
    <x:row r="24">
      <x:c r="B24" s="140"/>
      <x:c r="C24" s="140"/>
      <x:c r="D24" s="140"/>
      <x:c r="E24" s="140"/>
      <x:c r="F24" s="140"/>
      <x:c r="G24" s="140"/>
      <x:c r="H24" s="140"/>
      <x:c r="I24" s="140"/>
      <x:c r="J24" s="140"/>
      <x:c r="K24" s="140"/>
      <x:c r="L24" s="140"/>
      <x:c r="M24" s="140"/>
      <x:c r="N24" s="140"/>
      <x:c r="O24" s="140"/>
      <x:c r="P24" s="140"/>
      <x:c r="Q24" s="140"/>
      <x:c r="R24" s="140"/>
    </x:row>
    <x:row r="25">
      <x:c r="B25" s="140"/>
      <x:c r="C25" s="140"/>
      <x:c r="D25" s="140"/>
      <x:c r="E25" s="140"/>
      <x:c r="F25" s="140"/>
      <x:c r="G25" s="140"/>
      <x:c r="H25" s="140"/>
      <x:c r="I25" s="140"/>
      <x:c r="J25" s="140"/>
      <x:c r="K25" s="140"/>
      <x:c r="L25" s="140"/>
      <x:c r="M25" s="140"/>
      <x:c r="N25" s="140"/>
      <x:c r="O25" s="140"/>
      <x:c r="P25" s="140"/>
      <x:c r="Q25" s="140"/>
      <x:c r="R25" s="140"/>
    </x:row>
    <x:row r="26">
      <x:c r="B26" s="140"/>
      <x:c r="C26" s="140"/>
      <x:c r="D26" s="140"/>
      <x:c r="E26" s="140"/>
      <x:c r="F26" s="140"/>
      <x:c r="G26" s="140"/>
      <x:c r="H26" s="140"/>
      <x:c r="I26" s="140"/>
      <x:c r="J26" s="140"/>
      <x:c r="K26" s="140"/>
      <x:c r="L26" s="140"/>
      <x:c r="M26" s="140"/>
      <x:c r="N26" s="140"/>
      <x:c r="O26" s="140"/>
      <x:c r="P26" s="140"/>
      <x:c r="Q26" s="140"/>
      <x:c r="R26" s="140"/>
    </x:row>
    <x:row r="27">
      <x:c r="B27" s="437" t="str">
        <x:v>ANCHOR CAPACITY / SPACING CHECK</x:v>
      </x:c>
      <x:c r="C27" s="437"/>
      <x:c r="D27" s="437"/>
      <x:c r="E27" s="437"/>
      <x:c r="F27" s="437"/>
      <x:c r="G27" s="140"/>
      <x:c r="H27" s="140"/>
      <x:c r="I27" s="140"/>
      <x:c r="J27" s="140"/>
      <x:c r="K27" s="140"/>
      <x:c r="L27" s="140"/>
      <x:c r="M27" s="140"/>
      <x:c r="N27" s="140"/>
      <x:c r="O27" s="140"/>
      <x:c r="P27" s="140"/>
      <x:c r="Q27" s="140"/>
      <x:c r="R27" s="140"/>
    </x:row>
    <x:row r="28">
      <x:c r="B28" s="450" t="str">
        <x:v>Check</x:v>
      </x:c>
      <x:c r="C28" s="450" t="str">
        <x:v>Result</x:v>
      </x:c>
      <x:c r="D28" s="450" t="str">
        <x:v>Unit</x:v>
      </x:c>
      <x:c r="E28" s="450" t="str">
        <x:v>Basis</x:v>
      </x:c>
      <x:c r="F28" s="140"/>
      <x:c r="G28" s="140"/>
      <x:c r="H28" s="140"/>
      <x:c r="I28" s="140"/>
      <x:c r="J28" s="140"/>
      <x:c r="K28" s="140"/>
      <x:c r="L28" s="140"/>
      <x:c r="M28" s="140"/>
      <x:c r="N28" s="140"/>
      <x:c r="O28" s="140"/>
      <x:c r="P28" s="140"/>
      <x:c r="Q28" s="140"/>
      <x:c r="R28" s="140"/>
    </x:row>
    <x:row r="29">
      <x:c r="B29" s="152" t="str">
        <x:v>Total Allowable Shear</x:v>
      </x:c>
      <x:c r="C29" s="415" t="n">
        <x:f>IFERROR(C14*C16*C17,"")</x:f>
        <x:v>0</x:v>
      </x:c>
      <x:c r="D29" s="152" t="str">
        <x:v>lb</x:v>
      </x:c>
      <x:c r="E29" s="152" t="str">
        <x:v>single shear × n × Cother</x:v>
      </x:c>
      <x:c r="F29" s="140"/>
      <x:c r="G29" s="140"/>
      <x:c r="H29" s="140"/>
      <x:c r="I29" s="140"/>
      <x:c r="J29" s="140"/>
      <x:c r="K29" s="140"/>
      <x:c r="L29" s="140"/>
      <x:c r="M29" s="140"/>
      <x:c r="N29" s="140"/>
      <x:c r="O29" s="140"/>
      <x:c r="P29" s="140"/>
      <x:c r="Q29" s="140"/>
      <x:c r="R29" s="140"/>
    </x:row>
    <x:row r="30">
      <x:c r="B30" s="152" t="str">
        <x:v>Total Allowable Tension</x:v>
      </x:c>
      <x:c r="C30" s="415" t="n">
        <x:f>IFERROR(C15*C16*C17,"")</x:f>
        <x:v>0</x:v>
      </x:c>
      <x:c r="D30" s="152" t="str">
        <x:v>lb</x:v>
      </x:c>
      <x:c r="E30" s="152" t="str">
        <x:v>single tension × n × Cother</x:v>
      </x:c>
      <x:c r="F30" s="140"/>
      <x:c r="G30" s="140"/>
      <x:c r="H30" s="140"/>
      <x:c r="I30" s="140"/>
      <x:c r="J30" s="140"/>
      <x:c r="K30" s="140"/>
      <x:c r="L30" s="140"/>
      <x:c r="M30" s="140"/>
      <x:c r="N30" s="140"/>
      <x:c r="O30" s="140"/>
      <x:c r="P30" s="140"/>
      <x:c r="Q30" s="140"/>
      <x:c r="R30" s="140"/>
    </x:row>
    <x:row r="31">
      <x:c r="B31" s="152" t="str">
        <x:v>Shear Utilization D/C</x:v>
      </x:c>
      <x:c r="C31" s="415" t="str">
        <x:f>IFERROR(C11/C29,"")</x:f>
      </x:c>
      <x:c r="D31" s="152" t="str"/>
      <x:c r="E31" s="152" t="str">
        <x:v>V / capacity</x:v>
      </x:c>
      <x:c r="F31" s="140"/>
      <x:c r="G31" s="140"/>
      <x:c r="H31" s="140"/>
      <x:c r="I31" s="140"/>
      <x:c r="J31" s="140"/>
      <x:c r="K31" s="140"/>
      <x:c r="L31" s="140"/>
      <x:c r="M31" s="140"/>
      <x:c r="N31" s="140"/>
      <x:c r="O31" s="140"/>
      <x:c r="P31" s="140"/>
      <x:c r="Q31" s="140"/>
      <x:c r="R31" s="140"/>
    </x:row>
    <x:row r="32">
      <x:c r="B32" s="152" t="str">
        <x:v>Tension Utilization D/C</x:v>
      </x:c>
      <x:c r="C32" s="415" t="str">
        <x:f>IFERROR(C12/C30,"")</x:f>
      </x:c>
      <x:c r="D32" s="152" t="str"/>
      <x:c r="E32" s="152" t="str">
        <x:v>T / capacity</x:v>
      </x:c>
      <x:c r="F32" s="140"/>
      <x:c r="G32" s="140"/>
      <x:c r="H32" s="140"/>
      <x:c r="I32" s="140"/>
      <x:c r="J32" s="140"/>
      <x:c r="K32" s="140"/>
      <x:c r="L32" s="140"/>
      <x:c r="M32" s="140"/>
      <x:c r="N32" s="140"/>
      <x:c r="O32" s="140"/>
      <x:c r="P32" s="140"/>
      <x:c r="Q32" s="140"/>
      <x:c r="R32" s="140"/>
    </x:row>
    <x:row r="33">
      <x:c r="B33" s="152" t="str">
        <x:v>Required Anchors — Shear</x:v>
      </x:c>
      <x:c r="C33" s="415" t="str">
        <x:f>IFERROR(CEILING(C11/(C14*C17),1),"")</x:f>
      </x:c>
      <x:c r="D33" s="152" t="str">
        <x:v>count</x:v>
      </x:c>
      <x:c r="E33" s="152" t="str">
        <x:v>Lower-bound count based on sourced per-anchor capacity</x:v>
      </x:c>
      <x:c r="F33" s="140"/>
      <x:c r="G33" s="140"/>
      <x:c r="H33" s="140"/>
      <x:c r="I33" s="140"/>
      <x:c r="J33" s="140"/>
      <x:c r="K33" s="140"/>
      <x:c r="L33" s="140"/>
      <x:c r="M33" s="140"/>
      <x:c r="N33" s="140"/>
      <x:c r="O33" s="140"/>
      <x:c r="P33" s="140"/>
      <x:c r="Q33" s="140"/>
      <x:c r="R33" s="140"/>
    </x:row>
    <x:row r="34">
      <x:c r="B34" s="152" t="str">
        <x:v>Required Anchors — Tension</x:v>
      </x:c>
      <x:c r="C34" s="415" t="str">
        <x:f>IFERROR(CEILING(C12/(C15*C17),1),"")</x:f>
      </x:c>
      <x:c r="D34" s="152" t="str">
        <x:v>count</x:v>
      </x:c>
      <x:c r="E34" s="152" t="str">
        <x:v>Lower-bound count based on sourced per-anchor capacity</x:v>
      </x:c>
      <x:c r="F34" s="140"/>
      <x:c r="G34" s="140"/>
      <x:c r="H34" s="140"/>
      <x:c r="I34" s="140"/>
      <x:c r="J34" s="140"/>
      <x:c r="K34" s="140"/>
      <x:c r="L34" s="140"/>
      <x:c r="M34" s="140"/>
      <x:c r="N34" s="140"/>
      <x:c r="O34" s="140"/>
      <x:c r="P34" s="140"/>
      <x:c r="Q34" s="140"/>
      <x:c r="R34" s="140"/>
    </x:row>
    <x:row r="35">
      <x:c r="B35" s="152" t="str">
        <x:v>Required Anchors — Governing</x:v>
      </x:c>
      <x:c r="C35" s="415" t="str">
        <x:f>IF(AND(C33="",C34=""),"",MAX(IF(C33="",0,C33),IF(C34="",0,C34)))</x:f>
      </x:c>
      <x:c r="D35" s="152" t="str">
        <x:v>count</x:v>
      </x:c>
      <x:c r="E35" s="152" t="str">
        <x:v>max shear/tension count</x:v>
      </x:c>
      <x:c r="F35" s="140"/>
      <x:c r="G35" s="140"/>
      <x:c r="H35" s="140"/>
      <x:c r="I35" s="140"/>
      <x:c r="J35" s="140"/>
      <x:c r="K35" s="140"/>
      <x:c r="L35" s="140"/>
      <x:c r="M35" s="140"/>
      <x:c r="N35" s="140"/>
      <x:c r="O35" s="140"/>
      <x:c r="P35" s="140"/>
      <x:c r="Q35" s="140"/>
      <x:c r="R35" s="140"/>
    </x:row>
    <x:row r="36">
      <x:c r="B36" s="152" t="str">
        <x:v>Average Provided Spacing</x:v>
      </x:c>
      <x:c r="C36" s="415" t="n">
        <x:f>IFERROR(IF(C16&lt;=1,C13*12,C13*12/(C16-1)),"")</x:f>
        <x:v>0</x:v>
      </x:c>
      <x:c r="D36" s="152" t="str">
        <x:v>in</x:v>
      </x:c>
      <x:c r="E36" s="152" t="str">
        <x:v>Screen only; actual anchor layout governs</x:v>
      </x:c>
      <x:c r="F36" s="140"/>
      <x:c r="G36" s="140"/>
      <x:c r="H36" s="140"/>
      <x:c r="I36" s="140"/>
      <x:c r="J36" s="140"/>
      <x:c r="K36" s="140"/>
      <x:c r="L36" s="140"/>
      <x:c r="M36" s="140"/>
      <x:c r="N36" s="140"/>
      <x:c r="O36" s="140"/>
      <x:c r="P36" s="140"/>
      <x:c r="Q36" s="140"/>
      <x:c r="R36" s="140"/>
    </x:row>
    <x:row r="37">
      <x:c r="B37" s="152" t="str">
        <x:v>Spacing Utilization</x:v>
      </x:c>
      <x:c r="C37" s="415" t="str">
        <x:f>IFERROR(C35/C18,"")</x:f>
      </x:c>
      <x:c r="D37" s="152" t="str"/>
      <x:c r="E37" s="152" t="str">
        <x:v>provided average / permitted max</x:v>
      </x:c>
      <x:c r="F37" s="140"/>
      <x:c r="G37" s="140"/>
      <x:c r="H37" s="140"/>
      <x:c r="I37" s="140"/>
      <x:c r="J37" s="140"/>
      <x:c r="K37" s="140"/>
      <x:c r="L37" s="140"/>
      <x:c r="M37" s="140"/>
      <x:c r="N37" s="140"/>
      <x:c r="O37" s="140"/>
      <x:c r="P37" s="140"/>
      <x:c r="Q37" s="140"/>
      <x:c r="R37" s="140"/>
    </x:row>
    <x:row r="38">
      <x:c r="B38" s="152" t="str">
        <x:v>Governing Strength D/C</x:v>
      </x:c>
      <x:c r="C38" s="415" t="str">
        <x:f>IF(AND(C31="",C32=""),"",MAX(IF(C31="",0,C31),IF(C32="",0,C32)))</x:f>
      </x:c>
      <x:c r="D38" s="152" t="str"/>
      <x:c r="E38" s="152" t="str">
        <x:v>max shear/tension</x:v>
      </x:c>
      <x:c r="F38" s="140"/>
      <x:c r="G38" s="140"/>
      <x:c r="H38" s="140"/>
      <x:c r="I38" s="140"/>
      <x:c r="J38" s="140"/>
      <x:c r="K38" s="140"/>
      <x:c r="L38" s="140"/>
      <x:c r="M38" s="140"/>
      <x:c r="N38" s="140"/>
      <x:c r="O38" s="140"/>
      <x:c r="P38" s="140"/>
      <x:c r="Q38" s="140"/>
      <x:c r="R38" s="140"/>
    </x:row>
    <x:row r="39">
      <x:c r="B39" s="140"/>
      <x:c r="C39" s="140"/>
      <x:c r="D39" s="140"/>
      <x:c r="E39" s="140"/>
      <x:c r="F39" s="140"/>
      <x:c r="G39" s="140"/>
      <x:c r="H39" s="140"/>
      <x:c r="I39" s="140"/>
      <x:c r="J39" s="140"/>
      <x:c r="K39" s="140"/>
      <x:c r="L39" s="140"/>
      <x:c r="M39" s="140"/>
      <x:c r="N39" s="140"/>
      <x:c r="O39" s="140"/>
      <x:c r="P39" s="140"/>
      <x:c r="Q39" s="140"/>
      <x:c r="R39" s="140"/>
    </x:row>
    <x:row r="40">
      <x:c r="B40" s="140"/>
      <x:c r="C40" s="140"/>
      <x:c r="D40" s="140"/>
      <x:c r="E40" s="140"/>
      <x:c r="F40" s="140"/>
      <x:c r="G40" s="140"/>
      <x:c r="H40" s="140"/>
      <x:c r="I40" s="140"/>
      <x:c r="J40" s="140"/>
      <x:c r="K40" s="140"/>
      <x:c r="L40" s="140"/>
      <x:c r="M40" s="140"/>
      <x:c r="N40" s="140"/>
      <x:c r="O40" s="140"/>
      <x:c r="P40" s="140"/>
      <x:c r="Q40" s="140"/>
      <x:c r="R40" s="140"/>
    </x:row>
    <x:row r="41">
      <x:c r="B41" s="437" t="str">
        <x:v>CONTROLLED REVIEW GATES</x:v>
      </x:c>
      <x:c r="C41" s="437"/>
      <x:c r="D41" s="437"/>
      <x:c r="E41" s="437"/>
      <x:c r="F41" s="437"/>
      <x:c r="G41" s="437"/>
      <x:c r="H41" s="437"/>
      <x:c r="I41" s="437"/>
      <x:c r="J41" s="437"/>
      <x:c r="K41" s="140"/>
      <x:c r="L41" s="140"/>
      <x:c r="M41" s="140"/>
      <x:c r="N41" s="140"/>
      <x:c r="O41" s="140"/>
      <x:c r="P41" s="140"/>
      <x:c r="Q41" s="140"/>
      <x:c r="R41" s="140"/>
    </x:row>
    <x:row r="42">
      <x:c r="B42" s="450" t="str">
        <x:v>Gate</x:v>
      </x:c>
      <x:c r="C42" s="450" t="str">
        <x:v>Status</x:v>
      </x:c>
      <x:c r="D42" s="450" t="str">
        <x:v>Reason / action</x:v>
      </x:c>
      <x:c r="E42" s="450" t="str"/>
      <x:c r="F42" s="450" t="str"/>
      <x:c r="G42" s="450" t="str"/>
      <x:c r="H42" s="450" t="str"/>
      <x:c r="I42" s="450" t="str"/>
      <x:c r="J42" s="450" t="str"/>
      <x:c r="K42" s="140"/>
      <x:c r="L42" s="140"/>
      <x:c r="M42" s="140"/>
      <x:c r="N42" s="140"/>
      <x:c r="O42" s="140"/>
      <x:c r="P42" s="140"/>
      <x:c r="Q42" s="140"/>
      <x:c r="R42" s="140"/>
    </x:row>
    <x:row r="43" ht="40" customHeight="1">
      <x:c r="B43" s="152" t="str">
        <x:v>Concrete anchor design</x:v>
      </x:c>
      <x:c r="C43" s="152" t="str">
        <x:v>REVIEW</x:v>
      </x:c>
      <x:c r="D43" s="152" t="str">
        <x:v>Verify governing concrete/anchor standard or ESR: steel strength, concrete breakout, pullout, pryout, interaction, cracked concrete, and seismic qualification.</x:v>
      </x:c>
      <x:c r="E43" s="152" t="str"/>
      <x:c r="F43" s="152" t="str"/>
      <x:c r="G43" s="152" t="str"/>
      <x:c r="H43" s="152" t="str"/>
      <x:c r="I43" s="152" t="str"/>
      <x:c r="J43" s="152" t="str"/>
      <x:c r="K43" s="140"/>
      <x:c r="L43" s="140"/>
      <x:c r="M43" s="140"/>
      <x:c r="N43" s="140"/>
      <x:c r="O43" s="140"/>
      <x:c r="P43" s="140"/>
      <x:c r="Q43" s="140"/>
      <x:c r="R43" s="140"/>
    </x:row>
    <x:row r="44" ht="40" customHeight="1">
      <x:c r="B44" s="152" t="str">
        <x:v>Anchor spacing / edge distance</x:v>
      </x:c>
      <x:c r="C44" s="152" t="str">
        <x:v>REVIEW</x:v>
      </x:c>
      <x:c r="D44" s="152" t="str">
        <x:v>Average spacing is only a screen; actual plan locations, edge/end distances, minimum spacing, and anchor-group effects govern.</x:v>
      </x:c>
      <x:c r="E44" s="152" t="str"/>
      <x:c r="F44" s="152" t="str"/>
      <x:c r="G44" s="152" t="str"/>
      <x:c r="H44" s="152" t="str"/>
      <x:c r="I44" s="152" t="str"/>
      <x:c r="J44" s="152" t="str"/>
      <x:c r="K44" s="140"/>
      <x:c r="L44" s="140"/>
      <x:c r="M44" s="140"/>
      <x:c r="N44" s="140"/>
      <x:c r="O44" s="140"/>
      <x:c r="P44" s="140"/>
      <x:c r="Q44" s="140"/>
      <x:c r="R44" s="140"/>
    </x:row>
    <x:row r="45" ht="40" customHeight="1">
      <x:c r="B45" s="152" t="str">
        <x:v>Sill plate / washer</x:v>
      </x:c>
      <x:c r="C45" s="152" t="str">
        <x:v>REVIEW</x:v>
      </x:c>
      <x:c r="D45" s="152" t="str">
        <x:v>Verify sill thickness/species, plate washer or hardware requirements, hole size, bearing, crushing, splitting, and local shear transfer.</x:v>
      </x:c>
      <x:c r="E45" s="152" t="str"/>
      <x:c r="F45" s="152" t="str"/>
      <x:c r="G45" s="152" t="str"/>
      <x:c r="H45" s="152" t="str"/>
      <x:c r="I45" s="152" t="str"/>
      <x:c r="J45" s="152" t="str"/>
      <x:c r="K45" s="140"/>
      <x:c r="L45" s="140"/>
      <x:c r="M45" s="140"/>
      <x:c r="N45" s="140"/>
      <x:c r="O45" s="140"/>
      <x:c r="P45" s="140"/>
      <x:c r="Q45" s="140"/>
      <x:c r="R45" s="140"/>
    </x:row>
    <x:row r="46" ht="40" customHeight="1">
      <x:c r="B46" s="152" t="str">
        <x:v>Grout / base condition</x:v>
      </x:c>
      <x:c r="C46" s="152" t="str">
        <x:v>REVIEW</x:v>
      </x:c>
      <x:c r="D46" s="152" t="str">
        <x:v>Confirm concrete surface, grout, leveling plate, moisture/treatment, and installation assumptions.</x:v>
      </x:c>
      <x:c r="E46" s="152" t="str"/>
      <x:c r="F46" s="152" t="str"/>
      <x:c r="G46" s="152" t="str"/>
      <x:c r="H46" s="152" t="str"/>
      <x:c r="I46" s="152" t="str"/>
      <x:c r="J46" s="152" t="str"/>
      <x:c r="K46" s="140"/>
      <x:c r="L46" s="140"/>
      <x:c r="M46" s="140"/>
      <x:c r="N46" s="140"/>
      <x:c r="O46" s="140"/>
      <x:c r="P46" s="140"/>
      <x:c r="Q46" s="140"/>
      <x:c r="R46" s="140"/>
    </x:row>
    <x:row r="47" ht="40" customHeight="1">
      <x:c r="B47" s="152" t="str">
        <x:v>Special inspection</x:v>
      </x:c>
      <x:c r="C47" s="152" t="str">
        <x:v>REVIEW</x:v>
      </x:c>
      <x:c r="D47" s="152" t="str">
        <x:v>Confirm adhesive/mechanical anchor inspection/testing requirements where applicable.</x:v>
      </x:c>
      <x:c r="E47" s="152" t="str"/>
      <x:c r="F47" s="152" t="str"/>
      <x:c r="G47" s="152" t="str"/>
      <x:c r="H47" s="152" t="str"/>
      <x:c r="I47" s="152" t="str"/>
      <x:c r="J47" s="152" t="str"/>
      <x:c r="K47" s="140"/>
      <x:c r="L47" s="140"/>
      <x:c r="M47" s="140"/>
      <x:c r="N47" s="140"/>
      <x:c r="O47" s="140"/>
      <x:c r="P47" s="140"/>
      <x:c r="Q47" s="140"/>
      <x:c r="R47" s="140"/>
    </x:row>
    <x:row r="48" ht="40" customHeight="1">
      <x:c r="B48" s="152" t="str">
        <x:v>Publication gate</x:v>
      </x:c>
      <x:c r="C48" s="152" t="str">
        <x:v>REVIEW</x:v>
      </x:c>
      <x:c r="D48" s="152" t="str">
        <x:v>Engineer review required before permit or construction issue.</x:v>
      </x:c>
      <x:c r="E48" s="152" t="str"/>
      <x:c r="F48" s="152" t="str"/>
      <x:c r="G48" s="152" t="str"/>
      <x:c r="H48" s="152" t="str"/>
      <x:c r="I48" s="152" t="str"/>
      <x:c r="J48" s="152" t="str"/>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140"/>
      <x:c r="C52" s="140"/>
      <x:c r="D52" s="140"/>
      <x:c r="E52" s="140"/>
      <x:c r="F52" s="140"/>
      <x:c r="G52" s="140"/>
      <x:c r="H52" s="140"/>
      <x:c r="I52" s="140"/>
      <x:c r="J52" s="140"/>
      <x:c r="K52" s="140"/>
      <x:c r="L52" s="140"/>
      <x:c r="M52" s="140"/>
      <x:c r="N52" s="140"/>
      <x:c r="O52" s="140"/>
      <x:c r="P52" s="140"/>
      <x:c r="Q52" s="140"/>
      <x:c r="R52" s="140"/>
    </x:row>
    <x:row r="53">
      <x:c r="B53" s="140"/>
      <x:c r="C53" s="140"/>
      <x:c r="D53" s="140"/>
      <x:c r="E53" s="140"/>
      <x:c r="F53" s="140"/>
      <x:c r="G53" s="140"/>
      <x:c r="H53" s="140"/>
      <x:c r="I53" s="140"/>
      <x:c r="J53" s="140"/>
      <x:c r="K53" s="140"/>
      <x:c r="L53" s="140"/>
      <x:c r="M53" s="140"/>
      <x:c r="N53" s="140"/>
      <x:c r="O53" s="140"/>
      <x:c r="P53" s="140"/>
      <x:c r="Q53" s="140"/>
      <x:c r="R53" s="140"/>
    </x:row>
    <x:row r="54">
      <x:c r="B54" s="140"/>
      <x:c r="C54" s="140"/>
      <x:c r="D54" s="140"/>
      <x:c r="E54" s="140"/>
      <x:c r="F54" s="140"/>
      <x:c r="G54" s="140"/>
      <x:c r="H54" s="140"/>
      <x:c r="I54" s="140"/>
      <x:c r="J54" s="140"/>
      <x:c r="K54" s="140"/>
      <x:c r="L54" s="140"/>
      <x:c r="M54" s="140"/>
      <x:c r="N54" s="140"/>
      <x:c r="O54" s="140"/>
      <x:c r="P54" s="140"/>
      <x:c r="Q54" s="140"/>
      <x:c r="R54" s="140"/>
    </x:row>
    <x:row r="55">
      <x:c r="B55" s="140"/>
      <x:c r="C55" s="140"/>
      <x:c r="D55" s="140"/>
      <x:c r="E55" s="140"/>
      <x:c r="F55" s="140"/>
      <x:c r="G55" s="140"/>
      <x:c r="H55" s="140"/>
      <x:c r="I55" s="140"/>
      <x:c r="J55" s="140"/>
      <x:c r="K55" s="140"/>
      <x:c r="L55" s="140"/>
      <x:c r="M55" s="140"/>
      <x:c r="N55" s="140"/>
      <x:c r="O55" s="140"/>
      <x:c r="P55" s="140"/>
      <x:c r="Q55" s="140"/>
      <x:c r="R55" s="140"/>
    </x:row>
    <x:row r="56">
      <x:c r="B56" s="140"/>
      <x:c r="C56" s="140"/>
      <x:c r="D56" s="140"/>
      <x:c r="E56" s="140"/>
      <x:c r="F56" s="140"/>
      <x:c r="G56" s="140"/>
      <x:c r="H56" s="140"/>
      <x:c r="I56" s="140"/>
      <x:c r="J56" s="140"/>
      <x:c r="K56" s="140"/>
      <x:c r="L56" s="140"/>
      <x:c r="M56" s="140"/>
      <x:c r="N56" s="140"/>
      <x:c r="O56" s="140"/>
      <x:c r="P56" s="140"/>
      <x:c r="Q56" s="140"/>
      <x:c r="R56" s="140"/>
    </x:row>
    <x:row r="57">
      <x:c r="B57" s="140"/>
      <x:c r="C57" s="140"/>
      <x:c r="D57" s="140"/>
      <x:c r="E57" s="140"/>
      <x:c r="F57" s="140"/>
      <x:c r="G57" s="140"/>
      <x:c r="H57" s="140"/>
      <x:c r="I57" s="140"/>
      <x:c r="J57" s="140"/>
      <x:c r="K57" s="140"/>
      <x:c r="L57" s="140"/>
      <x:c r="M57" s="140"/>
      <x:c r="N57" s="140"/>
      <x:c r="O57" s="140"/>
      <x:c r="P57" s="140"/>
      <x:c r="Q57" s="140"/>
      <x:c r="R57" s="140"/>
    </x:row>
    <x:row r="58">
      <x:c r="B58" s="140"/>
      <x:c r="C58" s="140"/>
      <x:c r="D58" s="140"/>
      <x:c r="E58" s="140"/>
      <x:c r="F58" s="140"/>
      <x:c r="G58" s="140"/>
      <x:c r="H58" s="140"/>
      <x:c r="I58" s="140"/>
      <x:c r="J58" s="140"/>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H6:J6"/>
    <x:mergeCell ref="B27:F27"/>
    <x:mergeCell ref="B41:J41"/>
    <x:mergeCell ref="D43:J43"/>
    <x:mergeCell ref="D44:J44"/>
    <x:mergeCell ref="D45:J45"/>
    <x:mergeCell ref="D46:J46"/>
    <x:mergeCell ref="D47:J47"/>
    <x:mergeCell ref="D48:J48"/>
    <x:mergeCell ref="M2:R2"/>
  </x:mergeCells>
  <x:conditionalFormatting sqref="I7:I13">
    <x:cfRule type="expression" dxfId="143" priority="1">
      <x:formula>I7="PASS"</x:formula>
    </x:cfRule>
    <x:cfRule type="expression" dxfId="144" priority="2">
      <x:formula>I7="FAIL"</x:formula>
    </x:cfRule>
    <x:cfRule type="expression" dxfId="145" priority="3">
      <x:formula>OR(I7="REVIEW",I7="PENDING",I7="CHECK")</x:formula>
    </x:cfRule>
  </x:conditionalFormatting>
  <x:conditionalFormatting sqref="F8:F22">
    <x:cfRule type="expression" dxfId="146" priority="4">
      <x:formula>F8="PASS"</x:formula>
    </x:cfRule>
    <x:cfRule type="expression" dxfId="147" priority="5">
      <x:formula>F8="FAIL"</x:formula>
    </x:cfRule>
    <x:cfRule type="expression" dxfId="148" priority="6">
      <x:formula>OR(F8="REVIEW",F8="PENDING",F8="CHECK")</x:formula>
    </x:cfRule>
  </x:conditionalFormatting>
  <x:conditionalFormatting sqref="R4:R11">
    <x:cfRule type="expression" dxfId="149" priority="7">
      <x:formula>R4="PASS"</x:formula>
    </x:cfRule>
    <x:cfRule type="expression" dxfId="150" priority="8">
      <x:formula>R4="FAIL"</x:formula>
    </x:cfRule>
    <x:cfRule type="expression" dxfId="151" priority="9">
      <x:formula>OR(R4="REVIEW",R4="PENDING",R4="CHECK")</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2" max="2" width="32" hidden="0" customWidth="1"/>
    <x:col min="3" max="3" width="20" hidden="0" customWidth="1"/>
    <x:col min="4" max="4" width="12" hidden="0" customWidth="1"/>
    <x:col min="5" max="5" width="42" hidden="0" customWidth="1"/>
    <x:col min="6" max="6" width="12" hidden="0" customWidth="1"/>
    <x:col min="8" max="8" width="25" hidden="0" customWidth="1"/>
    <x:col min="9" max="9" width="14" hidden="0" customWidth="1"/>
    <x:col min="13" max="13" width="18" hidden="0" customWidth="1"/>
    <x:col min="14" max="14" width="44" hidden="0" customWidth="1"/>
    <x:col min="15" max="15" width="16" hidden="0" customWidth="1"/>
    <x:col min="16" max="16" width="16"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441" t="str">
        <x:v>COLLECTOR / CHORD / SPLICE LOAD-PATH ENGINE</x:v>
      </x:c>
      <x:c r="C2" s="441"/>
      <x:c r="D2" s="441"/>
      <x:c r="E2" s="441"/>
      <x:c r="F2" s="441"/>
      <x:c r="G2" s="441"/>
      <x:c r="H2" s="441"/>
      <x:c r="I2" s="441"/>
      <x:c r="J2" s="441"/>
      <x:c r="K2" s="140"/>
      <x:c r="L2" s="140"/>
      <x:c r="M2" s="437" t="str">
        <x:v>LOCKED MATH QA BENCHMARKS</x:v>
      </x:c>
      <x:c r="N2" s="437"/>
      <x:c r="O2" s="437"/>
      <x:c r="P2" s="437"/>
      <x:c r="Q2" s="437"/>
      <x:c r="R2" s="437"/>
    </x:row>
    <x:row r="3">
      <x:c r="B3" s="140"/>
      <x:c r="C3" s="140"/>
      <x:c r="D3" s="140"/>
      <x:c r="E3" s="140"/>
      <x:c r="F3" s="140"/>
      <x:c r="G3" s="140"/>
      <x:c r="H3" s="140"/>
      <x:c r="I3" s="140"/>
      <x:c r="J3" s="140"/>
      <x:c r="K3" s="140"/>
      <x:c r="L3" s="140"/>
      <x:c r="M3" s="450" t="str">
        <x:v>Test</x:v>
      </x:c>
      <x:c r="N3" s="450" t="str">
        <x:v>Inputs</x:v>
      </x:c>
      <x:c r="O3" s="450" t="str">
        <x:v>Expected</x:v>
      </x:c>
      <x:c r="P3" s="450" t="str">
        <x:v>Workbook</x:v>
      </x:c>
      <x:c r="Q3" s="450" t="str">
        <x:v>Abs Diff</x:v>
      </x:c>
      <x:c r="R3" s="450" t="str">
        <x:v>Status</x:v>
      </x:c>
    </x:row>
    <x:row r="4" ht="54" customHeight="1">
      <x:c r="B4" s="444" t="str">
        <x:v>Scope: axial member and splice/connection demand-capacity checks for collectors, drag struts, diaphragm chords, and splices. Member allowable capacity must be traceable to the appropriate NDS member design; available connection capacity should come from 28_CONNECTIONS or another approved source. Eccentricity, discontinuities, blocking, diaphragm-to-collector transfer, and connection geometry remain explicit review gates.</x:v>
      </x:c>
      <x:c r="C4" s="444"/>
      <x:c r="D4" s="444"/>
      <x:c r="E4" s="444"/>
      <x:c r="F4" s="444"/>
      <x:c r="G4" s="444"/>
      <x:c r="H4" s="444"/>
      <x:c r="I4" s="444"/>
      <x:c r="J4" s="444"/>
      <x:c r="K4" s="140"/>
      <x:c r="L4" s="140"/>
      <x:c r="M4" s="152" t="str">
        <x:v>COL-QA-01</x:v>
      </x:c>
      <x:c r="N4" s="152" t="str">
        <x:v>Member cap 12000×0.9</x:v>
      </x:c>
      <x:c r="O4" s="415" t="n">
        <x:v>10800</x:v>
      </x:c>
      <x:c r="P4" s="415" t="n">
        <x:f>12000*0.9</x:f>
        <x:v>10800</x:v>
      </x:c>
      <x:c r="Q4" s="415" t="n">
        <x:f>ABS(O4-P4)</x:f>
        <x:v>0</x:v>
      </x:c>
      <x:c r="R4" s="152" t="str">
        <x:f>IF(Q4&lt;1E-9,"PASS","FAIL")</x:f>
        <x:v>PASS</x:v>
      </x:c>
    </x:row>
    <x:row r="5">
      <x:c r="B5" s="140"/>
      <x:c r="C5" s="140"/>
      <x:c r="D5" s="140"/>
      <x:c r="E5" s="140"/>
      <x:c r="F5" s="140"/>
      <x:c r="G5" s="140"/>
      <x:c r="H5" s="140"/>
      <x:c r="I5" s="140"/>
      <x:c r="J5" s="140"/>
      <x:c r="K5" s="140"/>
      <x:c r="L5" s="140"/>
      <x:c r="M5" s="152" t="str">
        <x:v>COL-QA-02</x:v>
      </x:c>
      <x:c r="N5" s="152" t="str">
        <x:v>Member D/C 8000/10800</x:v>
      </x:c>
      <x:c r="O5" s="415" t="n">
        <x:v>0.7407407407407407</x:v>
      </x:c>
      <x:c r="P5" s="415" t="n">
        <x:f>8000/10800</x:f>
        <x:v>0.7407407407407407</x:v>
      </x:c>
      <x:c r="Q5" s="415" t="n">
        <x:f>ABS(O5-P5)</x:f>
        <x:v>0</x:v>
      </x:c>
      <x:c r="R5" s="152" t="str">
        <x:f>IF(Q5&lt;1E-9,"PASS","FAIL")</x:f>
        <x:v>PASS</x:v>
      </x:c>
    </x:row>
    <x:row r="6">
      <x:c r="B6" s="437" t="str">
        <x:v>COLLECTOR / CHORD BASIS</x:v>
      </x:c>
      <x:c r="C6" s="437"/>
      <x:c r="D6" s="437"/>
      <x:c r="E6" s="437"/>
      <x:c r="F6" s="437"/>
      <x:c r="G6" s="140"/>
      <x:c r="H6" s="437" t="str">
        <x:v>MODULE STATUS</x:v>
      </x:c>
      <x:c r="I6" s="437"/>
      <x:c r="J6" s="437"/>
      <x:c r="K6" s="140"/>
      <x:c r="L6" s="140"/>
      <x:c r="M6" s="152" t="str">
        <x:v>COL-QA-03</x:v>
      </x:c>
      <x:c r="N6" s="152" t="str">
        <x:v>Connection cap 10000×0.9</x:v>
      </x:c>
      <x:c r="O6" s="415" t="n">
        <x:v>9000</x:v>
      </x:c>
      <x:c r="P6" s="415" t="n">
        <x:f>10000*0.9</x:f>
        <x:v>9000</x:v>
      </x:c>
      <x:c r="Q6" s="415" t="n">
        <x:f>ABS(O6-P6)</x:f>
        <x:v>0</x:v>
      </x:c>
      <x:c r="R6" s="152" t="str">
        <x:f>IF(Q6&lt;1E-9,"PASS","FAIL")</x:f>
        <x:v>PASS</x:v>
      </x:c>
    </x:row>
    <x:row r="7">
      <x:c r="B7" s="450" t="str">
        <x:v>Parameter</x:v>
      </x:c>
      <x:c r="C7" s="450" t="str">
        <x:v>Value</x:v>
      </x:c>
      <x:c r="D7" s="450" t="str">
        <x:v>Unit</x:v>
      </x:c>
      <x:c r="E7" s="450" t="str">
        <x:v>Source / Basis</x:v>
      </x:c>
      <x:c r="F7" s="450" t="str">
        <x:v>Status</x:v>
      </x:c>
      <x:c r="G7" s="140"/>
      <x:c r="H7" s="450" t="str">
        <x:v>Input Completeness</x:v>
      </x:c>
      <x:c r="I7" s="450" t="str">
        <x:f>IF(COUNTIF(F8:F15,"MISSING")=0,"READY","PENDING")</x:f>
        <x:v>PENDING</x:v>
      </x:c>
      <x:c r="J7" s="140"/>
      <x:c r="K7" s="140"/>
      <x:c r="L7" s="140"/>
      <x:c r="M7" s="152" t="str">
        <x:v>COL-QA-04</x:v>
      </x:c>
      <x:c r="N7" s="152" t="str">
        <x:v>Connection D/C 6500/9000</x:v>
      </x:c>
      <x:c r="O7" s="415" t="n">
        <x:v>0.7222222222222222</x:v>
      </x:c>
      <x:c r="P7" s="415" t="n">
        <x:f>6500/9000</x:f>
        <x:v>0.7222222222222222</x:v>
      </x:c>
      <x:c r="Q7" s="415" t="n">
        <x:f>ABS(O7-P7)</x:f>
        <x:v>0</x:v>
      </x:c>
      <x:c r="R7" s="152" t="str">
        <x:f>IF(Q7&lt;1E-9,"PASS","FAIL")</x:f>
        <x:v>PASS</x:v>
      </x:c>
    </x:row>
    <x:row r="8">
      <x:c r="B8" s="152" t="str">
        <x:v>Mark</x:v>
      </x:c>
      <x:c r="C8" s="152" t="str">
        <x:f>IF('01_INPUTS'!C268="","",'01_INPUTS'!C268)</x:f>
      </x:c>
      <x:c r="D8" s="152" t="str"/>
      <x:c r="E8" s="152" t="str">
        <x:v>01_INPUTS</x:v>
      </x:c>
      <x:c r="F8" s="152" t="str">
        <x:f>IF(C8="","MISSING","OK")</x:f>
        <x:v>MISSING</x:v>
      </x:c>
      <x:c r="G8" s="140"/>
      <x:c r="H8" s="450" t="str">
        <x:v>Member Strength</x:v>
      </x:c>
      <x:c r="I8" s="450" t="str">
        <x:f>IF(C22="","PENDING",IF(C22&lt;=1,"PASS","FAIL"))</x:f>
        <x:v>PENDING</x:v>
      </x:c>
      <x:c r="J8" s="140"/>
      <x:c r="K8" s="140"/>
      <x:c r="L8" s="140"/>
      <x:c r="M8" s="152" t="str">
        <x:v>COL-QA-05</x:v>
      </x:c>
      <x:c r="N8" s="152" t="str">
        <x:v>Governing D/C</x:v>
      </x:c>
      <x:c r="O8" s="415" t="n">
        <x:v>0.7407407407407407</x:v>
      </x:c>
      <x:c r="P8" s="415" t="n">
        <x:f>MAX(8000/10800,6500/9000)</x:f>
        <x:v>0.7407407407407407</x:v>
      </x:c>
      <x:c r="Q8" s="415" t="n">
        <x:f>ABS(O8-P8)</x:f>
        <x:v>0</x:v>
      </x:c>
      <x:c r="R8" s="152" t="str">
        <x:f>IF(Q8&lt;1E-9,"PASS","FAIL")</x:f>
        <x:v>PASS</x:v>
      </x:c>
    </x:row>
    <x:row r="9">
      <x:c r="B9" s="152" t="str">
        <x:v>Use</x:v>
      </x:c>
      <x:c r="C9" s="152" t="str">
        <x:f>IF('01_INPUTS'!C269="","",'01_INPUTS'!C269)</x:f>
      </x:c>
      <x:c r="D9" s="152" t="str"/>
      <x:c r="E9" s="152" t="str">
        <x:v>01_INPUTS</x:v>
      </x:c>
      <x:c r="F9" s="152" t="str">
        <x:f>IF(C9="","MISSING","OK")</x:f>
        <x:v>MISSING</x:v>
      </x:c>
      <x:c r="G9" s="140"/>
      <x:c r="H9" s="450" t="str">
        <x:v>Connection / Splice</x:v>
      </x:c>
      <x:c r="I9" s="450" t="str">
        <x:f>IF(C23="","PENDING",IF(C23&lt;=1,"PASS","FAIL"))</x:f>
        <x:v>PENDING</x:v>
      </x:c>
      <x:c r="J9" s="140"/>
      <x:c r="K9" s="140"/>
      <x:c r="L9" s="140"/>
      <x:c r="M9" s="152"/>
      <x:c r="N9" s="152"/>
      <x:c r="O9" s="152"/>
      <x:c r="P9" s="152"/>
      <x:c r="Q9" s="152"/>
      <x:c r="R9" s="152"/>
    </x:row>
    <x:row r="10">
      <x:c r="B10" s="152" t="str">
        <x:v>Axial Demand P</x:v>
      </x:c>
      <x:c r="C10" s="152" t="str">
        <x:f>IF('01_INPUTS'!C270="","",'01_INPUTS'!C270)</x:f>
      </x:c>
      <x:c r="D10" s="152" t="str">
        <x:v>lb</x:v>
      </x:c>
      <x:c r="E10" s="152" t="str">
        <x:v>Lateral analysis</x:v>
      </x:c>
      <x:c r="F10" s="152" t="str">
        <x:f>IF(C10="","MISSING","OK")</x:f>
        <x:v>MISSING</x:v>
      </x:c>
      <x:c r="G10" s="140"/>
      <x:c r="H10" s="450" t="str">
        <x:v>Special Review Gates</x:v>
      </x:c>
      <x:c r="I10" s="450" t="str">
        <x:v>REVIEW</x:v>
      </x:c>
      <x:c r="J10" s="140"/>
      <x:c r="K10" s="140"/>
      <x:c r="L10" s="140"/>
      <x:c r="M10" s="152" t="str">
        <x:v>Benchmark Overall</x:v>
      </x:c>
      <x:c r="N10" s="152" t="str"/>
      <x:c r="O10" s="152" t="str"/>
      <x:c r="P10" s="152" t="str"/>
      <x:c r="Q10" s="152" t="str"/>
      <x:c r="R10" s="152" t="str">
        <x:f>IF(COUNTIF(R4:R8,"FAIL")=0,"PASS","FAIL")</x:f>
        <x:v>PASS</x:v>
      </x:c>
    </x:row>
    <x:row r="11">
      <x:c r="B11" s="152" t="str">
        <x:v>Member Allowable Axial Capacity</x:v>
      </x:c>
      <x:c r="C11" s="152" t="str">
        <x:f>IF('01_INPUTS'!C271="","",'01_INPUTS'!C271)</x:f>
      </x:c>
      <x:c r="D11" s="152" t="str">
        <x:v>lb</x:v>
      </x:c>
      <x:c r="E11" s="152" t="str">
        <x:v>NDS member design</x:v>
      </x:c>
      <x:c r="F11" s="152" t="str">
        <x:f>IF(C11="","MISSING","OK")</x:f>
        <x:v>MISSING</x:v>
      </x:c>
      <x:c r="G11" s="140"/>
      <x:c r="H11" s="450" t="str">
        <x:v>Math Cross-Checks</x:v>
      </x:c>
      <x:c r="I11" s="450" t="str">
        <x:f>IF(R8="PASS","PASS","CHECK")</x:f>
        <x:v>PASS</x:v>
      </x:c>
      <x:c r="J11" s="140"/>
      <x:c r="K11" s="140"/>
      <x:c r="L11" s="140"/>
      <x:c r="M11" s="140"/>
      <x:c r="N11" s="140"/>
      <x:c r="O11" s="140"/>
      <x:c r="P11" s="140"/>
      <x:c r="Q11" s="140"/>
      <x:c r="R11" s="140"/>
    </x:row>
    <x:row r="12">
      <x:c r="B12" s="152" t="str">
        <x:v>Splice / Connection Demand</x:v>
      </x:c>
      <x:c r="C12" s="152" t="str">
        <x:f>IF('01_INPUTS'!C272="","",'01_INPUTS'!C272)</x:f>
      </x:c>
      <x:c r="D12" s="152" t="str">
        <x:v>lb</x:v>
      </x:c>
      <x:c r="E12" s="152" t="str">
        <x:v>Load path</x:v>
      </x:c>
      <x:c r="F12" s="152" t="str">
        <x:f>IF(C12="","MISSING","OK")</x:f>
        <x:v>MISSING</x:v>
      </x:c>
      <x:c r="G12" s="140"/>
      <x:c r="H12" s="450" t="str">
        <x:v>Overall</x:v>
      </x:c>
      <x:c r="I12" s="450" t="str">
        <x:f>IF(OR(I8="PENDING",I9="PENDING"),"PENDING",IF(OR(I8="FAIL",I9="FAIL"),"FAIL","REVIEW"))</x:f>
        <x:v>PENDING</x:v>
      </x:c>
      <x:c r="J12" s="140"/>
      <x:c r="K12" s="140"/>
      <x:c r="L12" s="140"/>
      <x:c r="M12" s="140"/>
      <x:c r="N12" s="140"/>
      <x:c r="O12" s="140"/>
      <x:c r="P12" s="140"/>
      <x:c r="Q12" s="140"/>
      <x:c r="R12" s="140"/>
    </x:row>
    <x:row r="13">
      <x:c r="B13" s="152" t="str">
        <x:v>Available Connection Capacity</x:v>
      </x:c>
      <x:c r="C13" s="152" t="str">
        <x:f>IF('01_INPUTS'!C273="","",'01_INPUTS'!C273)</x:f>
      </x:c>
      <x:c r="D13" s="152" t="str">
        <x:v>lb</x:v>
      </x:c>
      <x:c r="E13" s="152" t="str">
        <x:v>28_CONNECTIONS / approved source</x:v>
      </x:c>
      <x:c r="F13" s="152" t="str">
        <x:f>IF(C13="","MISSING","OK")</x:f>
        <x:v>MISSING</x:v>
      </x:c>
      <x:c r="G13" s="140"/>
      <x:c r="H13" s="140"/>
      <x:c r="I13" s="140"/>
      <x:c r="J13" s="140"/>
      <x:c r="K13" s="140"/>
      <x:c r="L13" s="140"/>
      <x:c r="M13" s="140"/>
      <x:c r="N13" s="140"/>
      <x:c r="O13" s="140"/>
      <x:c r="P13" s="140"/>
      <x:c r="Q13" s="140"/>
      <x:c r="R13" s="140"/>
    </x:row>
    <x:row r="14">
      <x:c r="B14" s="152" t="str">
        <x:v>Other Factor Cother</x:v>
      </x:c>
      <x:c r="C14" s="152" t="str">
        <x:f>IF('01_INPUTS'!C274="","",'01_INPUTS'!C274)</x:f>
      </x:c>
      <x:c r="D14" s="152" t="str"/>
      <x:c r="E14" s="152" t="str">
        <x:v>Controlled source</x:v>
      </x:c>
      <x:c r="F14" s="152" t="str">
        <x:f>IF(C14="","MISSING","OK")</x:f>
        <x:v>MISSING</x:v>
      </x:c>
      <x:c r="G14" s="140"/>
      <x:c r="H14" s="140"/>
      <x:c r="I14" s="140"/>
      <x:c r="J14" s="140"/>
      <x:c r="K14" s="140"/>
      <x:c r="L14" s="140"/>
      <x:c r="M14" s="140"/>
      <x:c r="N14" s="140"/>
      <x:c r="O14" s="140"/>
      <x:c r="P14" s="140"/>
      <x:c r="Q14" s="140"/>
      <x:c r="R14" s="140"/>
    </x:row>
    <x:row r="15">
      <x:c r="B15" s="152" t="str">
        <x:v>Source Record</x:v>
      </x:c>
      <x:c r="C15" s="152" t="str">
        <x:f>IF('01_INPUTS'!C275="","",'01_INPUTS'!C275)</x:f>
      </x:c>
      <x:c r="D15" s="152" t="str"/>
      <x:c r="E15" s="152" t="str">
        <x:v>Source register</x:v>
      </x:c>
      <x:c r="F15" s="152" t="str">
        <x:f>IF(C15="","MISSING","OK")</x:f>
        <x:v>MISSING</x:v>
      </x:c>
      <x:c r="G15" s="140"/>
      <x:c r="H15" s="140"/>
      <x:c r="I15" s="140"/>
      <x:c r="J15" s="140"/>
      <x:c r="K15" s="140"/>
      <x:c r="L15" s="140"/>
      <x:c r="M15" s="140"/>
      <x:c r="N15" s="140"/>
      <x:c r="O15" s="140"/>
      <x:c r="P15" s="140"/>
      <x:c r="Q15" s="140"/>
      <x:c r="R15" s="140"/>
    </x:row>
    <x:row r="16">
      <x:c r="B16" s="152" t="str">
        <x:v>Review Notes</x:v>
      </x:c>
      <x:c r="C16" s="152" t="str">
        <x:f>IF('01_INPUTS'!C276="","",'01_INPUTS'!C276)</x:f>
      </x:c>
      <x:c r="D16" s="152" t="str"/>
      <x:c r="E16" s="152" t="str">
        <x:v>Engineer review</x:v>
      </x:c>
      <x:c r="F16" s="152" t="str">
        <x:f>IF(C16="","MISSING","OK")</x:f>
        <x:v>MISSING</x:v>
      </x:c>
      <x:c r="G16" s="140"/>
      <x:c r="H16" s="140"/>
      <x:c r="I16" s="140"/>
      <x:c r="J16" s="140"/>
      <x:c r="K16" s="140"/>
      <x:c r="L16" s="140"/>
      <x:c r="M16" s="140"/>
      <x:c r="N16" s="140"/>
      <x:c r="O16" s="140"/>
      <x:c r="P16" s="140"/>
      <x:c r="Q16" s="140"/>
      <x:c r="R16" s="140"/>
    </x:row>
    <x:row r="17">
      <x:c r="B17" s="140"/>
      <x:c r="C17" s="140"/>
      <x:c r="D17" s="140"/>
      <x:c r="E17" s="140"/>
      <x:c r="F17" s="140"/>
      <x:c r="G17" s="140"/>
      <x:c r="H17" s="140"/>
      <x:c r="I17" s="140"/>
      <x:c r="J17" s="140"/>
      <x:c r="K17" s="140"/>
      <x:c r="L17" s="140"/>
      <x:c r="M17" s="140"/>
      <x:c r="N17" s="140"/>
      <x:c r="O17" s="140"/>
      <x:c r="P17" s="140"/>
      <x:c r="Q17" s="140"/>
      <x:c r="R17" s="140"/>
    </x:row>
    <x:row r="18">
      <x:c r="B18" s="140"/>
      <x:c r="C18" s="140"/>
      <x:c r="D18" s="140"/>
      <x:c r="E18" s="140"/>
      <x:c r="F18" s="140"/>
      <x:c r="G18" s="140"/>
      <x:c r="H18" s="140"/>
      <x:c r="I18" s="140"/>
      <x:c r="J18" s="140"/>
      <x:c r="K18" s="140"/>
      <x:c r="L18" s="140"/>
      <x:c r="M18" s="140"/>
      <x:c r="N18" s="140"/>
      <x:c r="O18" s="140"/>
      <x:c r="P18" s="140"/>
      <x:c r="Q18" s="140"/>
      <x:c r="R18" s="140"/>
    </x:row>
    <x:row r="19">
      <x:c r="B19" s="437" t="str">
        <x:v>LOAD-PATH CAPACITY CHECK</x:v>
      </x:c>
      <x:c r="C19" s="437"/>
      <x:c r="D19" s="437"/>
      <x:c r="E19" s="437"/>
      <x:c r="F19" s="437"/>
      <x:c r="G19" s="140"/>
      <x:c r="H19" s="140"/>
      <x:c r="I19" s="140"/>
      <x:c r="J19" s="140"/>
      <x:c r="K19" s="140"/>
      <x:c r="L19" s="140"/>
      <x:c r="M19" s="140"/>
      <x:c r="N19" s="140"/>
      <x:c r="O19" s="140"/>
      <x:c r="P19" s="140"/>
      <x:c r="Q19" s="140"/>
      <x:c r="R19" s="140"/>
    </x:row>
    <x:row r="20">
      <x:c r="B20" s="450" t="str">
        <x:v>Check</x:v>
      </x:c>
      <x:c r="C20" s="450" t="str">
        <x:v>Result</x:v>
      </x:c>
      <x:c r="D20" s="450" t="str">
        <x:v>Unit</x:v>
      </x:c>
      <x:c r="E20" s="450" t="str">
        <x:v>Basis</x:v>
      </x:c>
      <x:c r="F20" s="140"/>
      <x:c r="G20" s="140"/>
      <x:c r="H20" s="140"/>
      <x:c r="I20" s="140"/>
      <x:c r="J20" s="140"/>
      <x:c r="K20" s="140"/>
      <x:c r="L20" s="140"/>
      <x:c r="M20" s="140"/>
      <x:c r="N20" s="140"/>
      <x:c r="O20" s="140"/>
      <x:c r="P20" s="140"/>
      <x:c r="Q20" s="140"/>
      <x:c r="R20" s="140"/>
    </x:row>
    <x:row r="21">
      <x:c r="B21" s="152" t="str">
        <x:v>Adjusted Member Capacity</x:v>
      </x:c>
      <x:c r="C21" s="415" t="n">
        <x:f>IFERROR(C11*C14,"")</x:f>
        <x:v>0</x:v>
      </x:c>
      <x:c r="D21" s="152" t="str">
        <x:v>lb</x:v>
      </x:c>
      <x:c r="E21" s="152" t="str">
        <x:v>Member allowable × Cother</x:v>
      </x:c>
      <x:c r="F21" s="140"/>
      <x:c r="G21" s="140"/>
      <x:c r="H21" s="140"/>
      <x:c r="I21" s="140"/>
      <x:c r="J21" s="140"/>
      <x:c r="K21" s="140"/>
      <x:c r="L21" s="140"/>
      <x:c r="M21" s="140"/>
      <x:c r="N21" s="140"/>
      <x:c r="O21" s="140"/>
      <x:c r="P21" s="140"/>
      <x:c r="Q21" s="140"/>
      <x:c r="R21" s="140"/>
    </x:row>
    <x:row r="22">
      <x:c r="B22" s="152" t="str">
        <x:v>Member Utilization D/C</x:v>
      </x:c>
      <x:c r="C22" s="415" t="str">
        <x:f>IFERROR(C10/C21,"")</x:f>
      </x:c>
      <x:c r="D22" s="152" t="str"/>
      <x:c r="E22" s="152" t="str">
        <x:v>P / capacity</x:v>
      </x:c>
      <x:c r="F22" s="140"/>
      <x:c r="G22" s="140"/>
      <x:c r="H22" s="140"/>
      <x:c r="I22" s="140"/>
      <x:c r="J22" s="140"/>
      <x:c r="K22" s="140"/>
      <x:c r="L22" s="140"/>
      <x:c r="M22" s="140"/>
      <x:c r="N22" s="140"/>
      <x:c r="O22" s="140"/>
      <x:c r="P22" s="140"/>
      <x:c r="Q22" s="140"/>
      <x:c r="R22" s="140"/>
    </x:row>
    <x:row r="23">
      <x:c r="B23" s="152" t="str">
        <x:v>Adjusted Connection Capacity</x:v>
      </x:c>
      <x:c r="C23" s="415" t="n">
        <x:f>IFERROR(C13*C14,"")</x:f>
        <x:v>0</x:v>
      </x:c>
      <x:c r="D23" s="152" t="str">
        <x:v>lb</x:v>
      </x:c>
      <x:c r="E23" s="152" t="str">
        <x:v>Connection capacity × Cother</x:v>
      </x:c>
      <x:c r="F23" s="140"/>
      <x:c r="G23" s="140"/>
      <x:c r="H23" s="140"/>
      <x:c r="I23" s="140"/>
      <x:c r="J23" s="140"/>
      <x:c r="K23" s="140"/>
      <x:c r="L23" s="140"/>
      <x:c r="M23" s="140"/>
      <x:c r="N23" s="140"/>
      <x:c r="O23" s="140"/>
      <x:c r="P23" s="140"/>
      <x:c r="Q23" s="140"/>
      <x:c r="R23" s="140"/>
    </x:row>
    <x:row r="24">
      <x:c r="B24" s="152" t="str">
        <x:v>Connection / Splice D/C</x:v>
      </x:c>
      <x:c r="C24" s="415" t="str">
        <x:f>IFERROR(C12/C23,"")</x:f>
      </x:c>
      <x:c r="D24" s="152" t="str"/>
      <x:c r="E24" s="152" t="str">
        <x:v>Demand / capacity</x:v>
      </x:c>
      <x:c r="F24" s="140"/>
      <x:c r="G24" s="140"/>
      <x:c r="H24" s="140"/>
      <x:c r="I24" s="140"/>
      <x:c r="J24" s="140"/>
      <x:c r="K24" s="140"/>
      <x:c r="L24" s="140"/>
      <x:c r="M24" s="140"/>
      <x:c r="N24" s="140"/>
      <x:c r="O24" s="140"/>
      <x:c r="P24" s="140"/>
      <x:c r="Q24" s="140"/>
      <x:c r="R24" s="140"/>
    </x:row>
    <x:row r="25">
      <x:c r="B25" s="152" t="str">
        <x:v>Governing Utilization</x:v>
      </x:c>
      <x:c r="C25" s="415" t="str">
        <x:f>IF(AND(C22="",C24=""),"",MAX(IF(C22="",0,C22),IF(C24="",0,C24)))</x:f>
      </x:c>
      <x:c r="D25" s="152" t="str"/>
      <x:c r="E25" s="152" t="str">
        <x:v>max member/connection</x:v>
      </x:c>
      <x:c r="F25" s="140"/>
      <x:c r="G25" s="140"/>
      <x:c r="H25" s="140"/>
      <x:c r="I25" s="140"/>
      <x:c r="J25" s="140"/>
      <x:c r="K25" s="140"/>
      <x:c r="L25" s="140"/>
      <x:c r="M25" s="140"/>
      <x:c r="N25" s="140"/>
      <x:c r="O25" s="140"/>
      <x:c r="P25" s="140"/>
      <x:c r="Q25" s="140"/>
      <x:c r="R25" s="140"/>
    </x:row>
    <x:row r="26">
      <x:c r="B26" s="152" t="str">
        <x:v>Status</x:v>
      </x:c>
      <x:c r="C26" s="415" t="str">
        <x:f>IF(C25="","PENDING",IF(C25&lt;=1,"REVIEW","FAIL"))</x:f>
        <x:v>PENDING</x:v>
      </x:c>
      <x:c r="D26" s="152" t="str"/>
      <x:c r="E26" s="152" t="str">
        <x:v>Review retained for load-path detailing</x:v>
      </x:c>
      <x:c r="F26" s="140"/>
      <x:c r="G26" s="140"/>
      <x:c r="H26" s="140"/>
      <x:c r="I26" s="140"/>
      <x:c r="J26" s="140"/>
      <x:c r="K26" s="140"/>
      <x:c r="L26" s="140"/>
      <x:c r="M26" s="140"/>
      <x:c r="N26" s="140"/>
      <x:c r="O26" s="140"/>
      <x:c r="P26" s="140"/>
      <x:c r="Q26" s="140"/>
      <x:c r="R26" s="140"/>
    </x:row>
    <x:row r="27">
      <x:c r="B27" s="140"/>
      <x:c r="C27" s="140"/>
      <x:c r="D27" s="140"/>
      <x:c r="E27" s="140"/>
      <x:c r="F27" s="140"/>
      <x:c r="G27" s="140"/>
      <x:c r="H27" s="140"/>
      <x:c r="I27" s="140"/>
      <x:c r="J27" s="140"/>
      <x:c r="K27" s="140"/>
      <x:c r="L27" s="140"/>
      <x:c r="M27" s="140"/>
      <x:c r="N27" s="140"/>
      <x:c r="O27" s="140"/>
      <x:c r="P27" s="140"/>
      <x:c r="Q27" s="140"/>
      <x:c r="R27" s="140"/>
    </x:row>
    <x:row r="28">
      <x:c r="B28" s="140"/>
      <x:c r="C28" s="140"/>
      <x:c r="D28" s="140"/>
      <x:c r="E28" s="140"/>
      <x:c r="F28" s="140"/>
      <x:c r="G28" s="140"/>
      <x:c r="H28" s="140"/>
      <x:c r="I28" s="140"/>
      <x:c r="J28" s="140"/>
      <x:c r="K28" s="140"/>
      <x:c r="L28" s="140"/>
      <x:c r="M28" s="140"/>
      <x:c r="N28" s="140"/>
      <x:c r="O28" s="140"/>
      <x:c r="P28" s="140"/>
      <x:c r="Q28" s="140"/>
      <x:c r="R28" s="140"/>
    </x:row>
    <x:row r="29">
      <x:c r="B29" s="437" t="str">
        <x:v>CONTROLLED REVIEW GATES</x:v>
      </x:c>
      <x:c r="C29" s="437"/>
      <x:c r="D29" s="437"/>
      <x:c r="E29" s="437"/>
      <x:c r="F29" s="437"/>
      <x:c r="G29" s="437"/>
      <x:c r="H29" s="437"/>
      <x:c r="I29" s="437"/>
      <x:c r="J29" s="437"/>
      <x:c r="K29" s="140"/>
      <x:c r="L29" s="140"/>
      <x:c r="M29" s="140"/>
      <x:c r="N29" s="140"/>
      <x:c r="O29" s="140"/>
      <x:c r="P29" s="140"/>
      <x:c r="Q29" s="140"/>
      <x:c r="R29" s="140"/>
    </x:row>
    <x:row r="30">
      <x:c r="B30" s="450" t="str">
        <x:v>Gate</x:v>
      </x:c>
      <x:c r="C30" s="450" t="str">
        <x:v>Status</x:v>
      </x:c>
      <x:c r="D30" s="450" t="str">
        <x:v>Reason / action</x:v>
      </x:c>
      <x:c r="E30" s="450" t="str"/>
      <x:c r="F30" s="450" t="str"/>
      <x:c r="G30" s="450" t="str"/>
      <x:c r="H30" s="450" t="str"/>
      <x:c r="I30" s="450" t="str"/>
      <x:c r="J30" s="450" t="str"/>
      <x:c r="K30" s="140"/>
      <x:c r="L30" s="140"/>
      <x:c r="M30" s="140"/>
      <x:c r="N30" s="140"/>
      <x:c r="O30" s="140"/>
      <x:c r="P30" s="140"/>
      <x:c r="Q30" s="140"/>
      <x:c r="R30" s="140"/>
    </x:row>
    <x:row r="31" ht="40" customHeight="1">
      <x:c r="B31" s="152" t="str">
        <x:v>Force derivation</x:v>
      </x:c>
      <x:c r="C31" s="152" t="str">
        <x:v>REVIEW</x:v>
      </x:c>
      <x:c r="D31" s="152" t="str">
        <x:v>Trace collector/chord force to diaphragm/wall analysis, including torsion, transfer forces, discontinuities, and governing load combination.</x:v>
      </x:c>
      <x:c r="E31" s="152" t="str"/>
      <x:c r="F31" s="152" t="str"/>
      <x:c r="G31" s="152" t="str"/>
      <x:c r="H31" s="152" t="str"/>
      <x:c r="I31" s="152" t="str"/>
      <x:c r="J31" s="152" t="str"/>
      <x:c r="K31" s="140"/>
      <x:c r="L31" s="140"/>
      <x:c r="M31" s="140"/>
      <x:c r="N31" s="140"/>
      <x:c r="O31" s="140"/>
      <x:c r="P31" s="140"/>
      <x:c r="Q31" s="140"/>
      <x:c r="R31" s="140"/>
    </x:row>
    <x:row r="32" ht="40" customHeight="1">
      <x:c r="B32" s="152" t="str">
        <x:v>Member design</x:v>
      </x:c>
      <x:c r="C32" s="152" t="str">
        <x:v>REVIEW</x:v>
      </x:c>
      <x:c r="D32" s="152" t="str">
        <x:v>Confirm tension/compression/bending interaction, net section, buckling, notches/holes, and duration factors as applicable.</x:v>
      </x:c>
      <x:c r="E32" s="152" t="str"/>
      <x:c r="F32" s="152" t="str"/>
      <x:c r="G32" s="152" t="str"/>
      <x:c r="H32" s="152" t="str"/>
      <x:c r="I32" s="152" t="str"/>
      <x:c r="J32" s="152" t="str"/>
      <x:c r="K32" s="140"/>
      <x:c r="L32" s="140"/>
      <x:c r="M32" s="140"/>
      <x:c r="N32" s="140"/>
      <x:c r="O32" s="140"/>
      <x:c r="P32" s="140"/>
      <x:c r="Q32" s="140"/>
      <x:c r="R32" s="140"/>
    </x:row>
    <x:row r="33" ht="40" customHeight="1">
      <x:c r="B33" s="152" t="str">
        <x:v>Splice / connection</x:v>
      </x:c>
      <x:c r="C33" s="152" t="str">
        <x:v>REVIEW</x:v>
      </x:c>
      <x:c r="D33" s="152" t="str">
        <x:v>Connection capacity must be project-specific; verify fastener group, eccentricity, block shear/splitting, steel plates, and hardware.</x:v>
      </x:c>
      <x:c r="E33" s="152" t="str"/>
      <x:c r="F33" s="152" t="str"/>
      <x:c r="G33" s="152" t="str"/>
      <x:c r="H33" s="152" t="str"/>
      <x:c r="I33" s="152" t="str"/>
      <x:c r="J33" s="152" t="str"/>
      <x:c r="K33" s="140"/>
      <x:c r="L33" s="140"/>
      <x:c r="M33" s="140"/>
      <x:c r="N33" s="140"/>
      <x:c r="O33" s="140"/>
      <x:c r="P33" s="140"/>
      <x:c r="Q33" s="140"/>
      <x:c r="R33" s="140"/>
    </x:row>
    <x:row r="34" ht="40" customHeight="1">
      <x:c r="B34" s="152" t="str">
        <x:v>Blocking / transfer</x:v>
      </x:c>
      <x:c r="C34" s="152" t="str">
        <x:v>REVIEW</x:v>
      </x:c>
      <x:c r="D34" s="152" t="str">
        <x:v>Verify complete transfer from sheathing/diaphragm into collector/chord and through each discontinuity.</x:v>
      </x:c>
      <x:c r="E34" s="152" t="str"/>
      <x:c r="F34" s="152" t="str"/>
      <x:c r="G34" s="152" t="str"/>
      <x:c r="H34" s="152" t="str"/>
      <x:c r="I34" s="152" t="str"/>
      <x:c r="J34" s="152" t="str"/>
      <x:c r="K34" s="140"/>
      <x:c r="L34" s="140"/>
      <x:c r="M34" s="140"/>
      <x:c r="N34" s="140"/>
      <x:c r="O34" s="140"/>
      <x:c r="P34" s="140"/>
      <x:c r="Q34" s="140"/>
      <x:c r="R34" s="140"/>
    </x:row>
    <x:row r="35" ht="40" customHeight="1">
      <x:c r="B35" s="152" t="str">
        <x:v>Reconciliation</x:v>
      </x:c>
      <x:c r="C35" s="152" t="str">
        <x:v>REVIEW</x:v>
      </x:c>
      <x:c r="D35" s="152" t="str">
        <x:v>CAD schedule and calculation mark/force/capacity must match at issue.</x:v>
      </x:c>
      <x:c r="E35" s="152" t="str"/>
      <x:c r="F35" s="152" t="str"/>
      <x:c r="G35" s="152" t="str"/>
      <x:c r="H35" s="152" t="str"/>
      <x:c r="I35" s="152" t="str"/>
      <x:c r="J35" s="152" t="str"/>
      <x:c r="K35" s="140"/>
      <x:c r="L35" s="140"/>
      <x:c r="M35" s="140"/>
      <x:c r="N35" s="140"/>
      <x:c r="O35" s="140"/>
      <x:c r="P35" s="140"/>
      <x:c r="Q35" s="140"/>
      <x:c r="R35" s="140"/>
    </x:row>
    <x:row r="36" ht="40" customHeight="1">
      <x:c r="B36" s="152" t="str">
        <x:v>Publication gate</x:v>
      </x:c>
      <x:c r="C36" s="152" t="str">
        <x:v>REVIEW</x:v>
      </x:c>
      <x:c r="D36" s="152" t="str">
        <x:v>Engineer review required before permit or construction issue.</x:v>
      </x:c>
      <x:c r="E36" s="152" t="str"/>
      <x:c r="F36" s="152" t="str"/>
      <x:c r="G36" s="152" t="str"/>
      <x:c r="H36" s="152" t="str"/>
      <x:c r="I36" s="152" t="str"/>
      <x:c r="J36" s="152" t="str"/>
      <x:c r="K36" s="140"/>
      <x:c r="L36" s="140"/>
      <x:c r="M36" s="140"/>
      <x:c r="N36" s="140"/>
      <x:c r="O36" s="140"/>
      <x:c r="P36" s="140"/>
      <x:c r="Q36" s="140"/>
      <x:c r="R36" s="140"/>
    </x:row>
    <x:row r="37">
      <x:c r="B37" s="140"/>
      <x:c r="C37" s="140"/>
      <x:c r="D37" s="140"/>
      <x:c r="E37" s="140"/>
      <x:c r="F37" s="140"/>
      <x:c r="G37" s="140"/>
      <x:c r="H37" s="140"/>
      <x:c r="I37" s="140"/>
      <x:c r="J37" s="140"/>
      <x:c r="K37" s="140"/>
      <x:c r="L37" s="140"/>
      <x:c r="M37" s="140"/>
      <x:c r="N37" s="140"/>
      <x:c r="O37" s="140"/>
      <x:c r="P37" s="140"/>
      <x:c r="Q37" s="140"/>
      <x:c r="R37" s="140"/>
    </x:row>
    <x:row r="38">
      <x:c r="B38" s="140"/>
      <x:c r="C38" s="140"/>
      <x:c r="D38" s="140"/>
      <x:c r="E38" s="140"/>
      <x:c r="F38" s="140"/>
      <x:c r="G38" s="140"/>
      <x:c r="H38" s="140"/>
      <x:c r="I38" s="140"/>
      <x:c r="J38" s="140"/>
      <x:c r="K38" s="140"/>
      <x:c r="L38" s="140"/>
      <x:c r="M38" s="140"/>
      <x:c r="N38" s="140"/>
      <x:c r="O38" s="140"/>
      <x:c r="P38" s="140"/>
      <x:c r="Q38" s="140"/>
      <x:c r="R38" s="140"/>
    </x:row>
    <x:row r="39">
      <x:c r="B39" s="140"/>
      <x:c r="C39" s="140"/>
      <x:c r="D39" s="140"/>
      <x:c r="E39" s="140"/>
      <x:c r="F39" s="140"/>
      <x:c r="G39" s="140"/>
      <x:c r="H39" s="140"/>
      <x:c r="I39" s="140"/>
      <x:c r="J39" s="140"/>
      <x:c r="K39" s="140"/>
      <x:c r="L39" s="140"/>
      <x:c r="M39" s="140"/>
      <x:c r="N39" s="140"/>
      <x:c r="O39" s="140"/>
      <x:c r="P39" s="140"/>
      <x:c r="Q39" s="140"/>
      <x:c r="R39" s="140"/>
    </x:row>
    <x:row r="40">
      <x:c r="B40" s="140"/>
      <x:c r="C40" s="140"/>
      <x:c r="D40" s="140"/>
      <x:c r="E40" s="140"/>
      <x:c r="F40" s="140"/>
      <x:c r="G40" s="140"/>
      <x:c r="H40" s="140"/>
      <x:c r="I40" s="140"/>
      <x:c r="J40" s="140"/>
      <x:c r="K40" s="140"/>
      <x:c r="L40" s="140"/>
      <x:c r="M40" s="140"/>
      <x:c r="N40" s="140"/>
      <x:c r="O40" s="140"/>
      <x:c r="P40" s="140"/>
      <x:c r="Q40" s="140"/>
      <x:c r="R40" s="140"/>
    </x:row>
    <x:row r="41">
      <x:c r="B41" s="140"/>
      <x:c r="C41" s="140"/>
      <x:c r="D41" s="140"/>
      <x:c r="E41" s="140"/>
      <x:c r="F41" s="140"/>
      <x:c r="G41" s="140"/>
      <x:c r="H41" s="140"/>
      <x:c r="I41" s="140"/>
      <x:c r="J41" s="140"/>
      <x:c r="K41" s="140"/>
      <x:c r="L41" s="140"/>
      <x:c r="M41" s="140"/>
      <x:c r="N41" s="140"/>
      <x:c r="O41" s="140"/>
      <x:c r="P41" s="140"/>
      <x:c r="Q41" s="140"/>
      <x:c r="R41" s="140"/>
    </x:row>
    <x:row r="42">
      <x:c r="B42" s="140"/>
      <x:c r="C42" s="140"/>
      <x:c r="D42" s="140"/>
      <x:c r="E42" s="140"/>
      <x:c r="F42" s="140"/>
      <x:c r="G42" s="140"/>
      <x:c r="H42" s="140"/>
      <x:c r="I42" s="140"/>
      <x:c r="J42" s="140"/>
      <x:c r="K42" s="140"/>
      <x:c r="L42" s="140"/>
      <x:c r="M42" s="140"/>
      <x:c r="N42" s="140"/>
      <x:c r="O42" s="140"/>
      <x:c r="P42" s="140"/>
      <x:c r="Q42" s="140"/>
      <x:c r="R42" s="140"/>
    </x:row>
    <x:row r="43">
      <x:c r="B43" s="140"/>
      <x:c r="C43" s="140"/>
      <x:c r="D43" s="140"/>
      <x:c r="E43" s="140"/>
      <x:c r="F43" s="140"/>
      <x:c r="G43" s="140"/>
      <x:c r="H43" s="140"/>
      <x:c r="I43" s="140"/>
      <x:c r="J43" s="140"/>
      <x:c r="K43" s="140"/>
      <x:c r="L43" s="140"/>
      <x:c r="M43" s="140"/>
      <x:c r="N43" s="140"/>
      <x:c r="O43" s="140"/>
      <x:c r="P43" s="140"/>
      <x:c r="Q43" s="140"/>
      <x:c r="R43" s="140"/>
    </x:row>
    <x:row r="44">
      <x:c r="B44" s="140"/>
      <x:c r="C44" s="140"/>
      <x:c r="D44" s="140"/>
      <x:c r="E44" s="140"/>
      <x:c r="F44" s="140"/>
      <x:c r="G44" s="140"/>
      <x:c r="H44" s="140"/>
      <x:c r="I44" s="140"/>
      <x:c r="J44" s="140"/>
      <x:c r="K44" s="140"/>
      <x:c r="L44" s="140"/>
      <x:c r="M44" s="140"/>
      <x:c r="N44" s="140"/>
      <x:c r="O44" s="140"/>
      <x:c r="P44" s="140"/>
      <x:c r="Q44" s="140"/>
      <x:c r="R44" s="140"/>
    </x:row>
    <x:row r="45">
      <x:c r="B45" s="140"/>
      <x:c r="C45" s="140"/>
      <x:c r="D45" s="140"/>
      <x:c r="E45" s="140"/>
      <x:c r="F45" s="140"/>
      <x:c r="G45" s="140"/>
      <x:c r="H45" s="140"/>
      <x:c r="I45" s="140"/>
      <x:c r="J45" s="140"/>
      <x:c r="K45" s="140"/>
      <x:c r="L45" s="140"/>
      <x:c r="M45" s="140"/>
      <x:c r="N45" s="140"/>
      <x:c r="O45" s="140"/>
      <x:c r="P45" s="140"/>
      <x:c r="Q45" s="140"/>
      <x:c r="R45" s="140"/>
    </x:row>
    <x:row r="46">
      <x:c r="B46" s="140"/>
      <x:c r="C46" s="140"/>
      <x:c r="D46" s="140"/>
      <x:c r="E46" s="140"/>
      <x:c r="F46" s="140"/>
      <x:c r="G46" s="140"/>
      <x:c r="H46" s="140"/>
      <x:c r="I46" s="140"/>
      <x:c r="J46" s="140"/>
      <x:c r="K46" s="140"/>
      <x:c r="L46" s="140"/>
      <x:c r="M46" s="140"/>
      <x:c r="N46" s="140"/>
      <x:c r="O46" s="140"/>
      <x:c r="P46" s="140"/>
      <x:c r="Q46" s="140"/>
      <x:c r="R46" s="140"/>
    </x:row>
    <x:row r="47">
      <x:c r="B47" s="140"/>
      <x:c r="C47" s="140"/>
      <x:c r="D47" s="140"/>
      <x:c r="E47" s="140"/>
      <x:c r="F47" s="140"/>
      <x:c r="G47" s="140"/>
      <x:c r="H47" s="140"/>
      <x:c r="I47" s="140"/>
      <x:c r="J47" s="140"/>
      <x:c r="K47" s="140"/>
      <x:c r="L47" s="140"/>
      <x:c r="M47" s="140"/>
      <x:c r="N47" s="140"/>
      <x:c r="O47" s="140"/>
      <x:c r="P47" s="140"/>
      <x:c r="Q47" s="140"/>
      <x:c r="R47" s="140"/>
    </x:row>
    <x:row r="48">
      <x:c r="B48" s="140"/>
      <x:c r="C48" s="140"/>
      <x:c r="D48" s="140"/>
      <x:c r="E48" s="140"/>
      <x:c r="F48" s="140"/>
      <x:c r="G48" s="140"/>
      <x:c r="H48" s="140"/>
      <x:c r="I48" s="140"/>
      <x:c r="J48" s="140"/>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140"/>
      <x:c r="C50" s="140"/>
      <x:c r="D50" s="140"/>
      <x:c r="E50" s="140"/>
      <x:c r="F50" s="140"/>
      <x:c r="G50" s="140"/>
      <x:c r="H50" s="140"/>
      <x:c r="I50" s="140"/>
      <x:c r="J50" s="140"/>
      <x:c r="K50" s="140"/>
      <x:c r="L50" s="140"/>
      <x:c r="M50" s="140"/>
      <x:c r="N50" s="140"/>
      <x:c r="O50" s="140"/>
      <x:c r="P50" s="140"/>
      <x:c r="Q50" s="140"/>
      <x:c r="R50" s="140"/>
    </x:row>
    <x:row r="51">
      <x:c r="B51" s="140"/>
      <x:c r="C51" s="140"/>
      <x:c r="D51" s="140"/>
      <x:c r="E51" s="140"/>
      <x:c r="F51" s="140"/>
      <x:c r="G51" s="140"/>
      <x:c r="H51" s="140"/>
      <x:c r="I51" s="140"/>
      <x:c r="J51" s="140"/>
      <x:c r="K51" s="140"/>
      <x:c r="L51" s="140"/>
      <x:c r="M51" s="140"/>
      <x:c r="N51" s="140"/>
      <x:c r="O51" s="140"/>
      <x:c r="P51" s="140"/>
      <x:c r="Q51" s="140"/>
      <x:c r="R51" s="140"/>
    </x:row>
    <x:row r="52">
      <x:c r="B52" s="140"/>
      <x:c r="C52" s="140"/>
      <x:c r="D52" s="140"/>
      <x:c r="E52" s="140"/>
      <x:c r="F52" s="140"/>
      <x:c r="G52" s="140"/>
      <x:c r="H52" s="140"/>
      <x:c r="I52" s="140"/>
      <x:c r="J52" s="140"/>
      <x:c r="K52" s="140"/>
      <x:c r="L52" s="140"/>
      <x:c r="M52" s="140"/>
      <x:c r="N52" s="140"/>
      <x:c r="O52" s="140"/>
      <x:c r="P52" s="140"/>
      <x:c r="Q52" s="140"/>
      <x:c r="R52" s="140"/>
    </x:row>
    <x:row r="53">
      <x:c r="B53" s="140"/>
      <x:c r="C53" s="140"/>
      <x:c r="D53" s="140"/>
      <x:c r="E53" s="140"/>
      <x:c r="F53" s="140"/>
      <x:c r="G53" s="140"/>
      <x:c r="H53" s="140"/>
      <x:c r="I53" s="140"/>
      <x:c r="J53" s="140"/>
      <x:c r="K53" s="140"/>
      <x:c r="L53" s="140"/>
      <x:c r="M53" s="140"/>
      <x:c r="N53" s="140"/>
      <x:c r="O53" s="140"/>
      <x:c r="P53" s="140"/>
      <x:c r="Q53" s="140"/>
      <x:c r="R53" s="140"/>
    </x:row>
    <x:row r="54">
      <x:c r="B54" s="140"/>
      <x:c r="C54" s="140"/>
      <x:c r="D54" s="140"/>
      <x:c r="E54" s="140"/>
      <x:c r="F54" s="140"/>
      <x:c r="G54" s="140"/>
      <x:c r="H54" s="140"/>
      <x:c r="I54" s="140"/>
      <x:c r="J54" s="140"/>
      <x:c r="K54" s="140"/>
      <x:c r="L54" s="140"/>
      <x:c r="M54" s="140"/>
      <x:c r="N54" s="140"/>
      <x:c r="O54" s="140"/>
      <x:c r="P54" s="140"/>
      <x:c r="Q54" s="140"/>
      <x:c r="R54" s="140"/>
    </x:row>
    <x:row r="55">
      <x:c r="B55" s="140"/>
      <x:c r="C55" s="140"/>
      <x:c r="D55" s="140"/>
      <x:c r="E55" s="140"/>
      <x:c r="F55" s="140"/>
      <x:c r="G55" s="140"/>
      <x:c r="H55" s="140"/>
      <x:c r="I55" s="140"/>
      <x:c r="J55" s="140"/>
      <x:c r="K55" s="140"/>
      <x:c r="L55" s="140"/>
      <x:c r="M55" s="140"/>
      <x:c r="N55" s="140"/>
      <x:c r="O55" s="140"/>
      <x:c r="P55" s="140"/>
      <x:c r="Q55" s="140"/>
      <x:c r="R55" s="140"/>
    </x:row>
    <x:row r="56">
      <x:c r="B56" s="140"/>
      <x:c r="C56" s="140"/>
      <x:c r="D56" s="140"/>
      <x:c r="E56" s="140"/>
      <x:c r="F56" s="140"/>
      <x:c r="G56" s="140"/>
      <x:c r="H56" s="140"/>
      <x:c r="I56" s="140"/>
      <x:c r="J56" s="140"/>
      <x:c r="K56" s="140"/>
      <x:c r="L56" s="140"/>
      <x:c r="M56" s="140"/>
      <x:c r="N56" s="140"/>
      <x:c r="O56" s="140"/>
      <x:c r="P56" s="140"/>
      <x:c r="Q56" s="140"/>
      <x:c r="R56" s="140"/>
    </x:row>
    <x:row r="57">
      <x:c r="B57" s="140"/>
      <x:c r="C57" s="140"/>
      <x:c r="D57" s="140"/>
      <x:c r="E57" s="140"/>
      <x:c r="F57" s="140"/>
      <x:c r="G57" s="140"/>
      <x:c r="H57" s="140"/>
      <x:c r="I57" s="140"/>
      <x:c r="J57" s="140"/>
      <x:c r="K57" s="140"/>
      <x:c r="L57" s="140"/>
      <x:c r="M57" s="140"/>
      <x:c r="N57" s="140"/>
      <x:c r="O57" s="140"/>
      <x:c r="P57" s="140"/>
      <x:c r="Q57" s="140"/>
      <x:c r="R57" s="140"/>
    </x:row>
    <x:row r="58">
      <x:c r="B58" s="140"/>
      <x:c r="C58" s="140"/>
      <x:c r="D58" s="140"/>
      <x:c r="E58" s="140"/>
      <x:c r="F58" s="140"/>
      <x:c r="G58" s="140"/>
      <x:c r="H58" s="140"/>
      <x:c r="I58" s="140"/>
      <x:c r="J58" s="140"/>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row r="66">
      <x:c r="B66" s="140"/>
      <x:c r="C66" s="140"/>
      <x:c r="D66" s="140"/>
      <x:c r="E66" s="140"/>
      <x:c r="F66" s="140"/>
      <x:c r="G66" s="140"/>
      <x:c r="H66" s="140"/>
      <x:c r="I66" s="140"/>
      <x:c r="J66" s="140"/>
      <x:c r="K66" s="140"/>
      <x:c r="L66" s="140"/>
      <x:c r="M66" s="140"/>
      <x:c r="N66" s="140"/>
      <x:c r="O66" s="140"/>
      <x:c r="P66" s="140"/>
      <x:c r="Q66" s="140"/>
      <x:c r="R66" s="140"/>
    </x:row>
    <x:row r="67">
      <x:c r="B67" s="140"/>
      <x:c r="C67" s="140"/>
      <x:c r="D67" s="140"/>
      <x:c r="E67" s="140"/>
      <x:c r="F67" s="140"/>
      <x:c r="G67" s="140"/>
      <x:c r="H67" s="140"/>
      <x:c r="I67" s="140"/>
      <x:c r="J67" s="140"/>
      <x:c r="K67" s="140"/>
      <x:c r="L67" s="140"/>
      <x:c r="M67" s="140"/>
      <x:c r="N67" s="140"/>
      <x:c r="O67" s="140"/>
      <x:c r="P67" s="140"/>
      <x:c r="Q67" s="140"/>
      <x:c r="R67" s="140"/>
    </x:row>
    <x:row r="68">
      <x:c r="B68" s="140"/>
      <x:c r="C68" s="140"/>
      <x:c r="D68" s="140"/>
      <x:c r="E68" s="140"/>
      <x:c r="F68" s="140"/>
      <x:c r="G68" s="140"/>
      <x:c r="H68" s="140"/>
      <x:c r="I68" s="140"/>
      <x:c r="J68" s="140"/>
      <x:c r="K68" s="140"/>
      <x:c r="L68" s="140"/>
      <x:c r="M68" s="140"/>
      <x:c r="N68" s="140"/>
      <x:c r="O68" s="140"/>
      <x:c r="P68" s="140"/>
      <x:c r="Q68" s="140"/>
      <x:c r="R68" s="140"/>
    </x:row>
    <x:row r="69">
      <x:c r="B69" s="140"/>
      <x:c r="C69" s="140"/>
      <x:c r="D69" s="140"/>
      <x:c r="E69" s="140"/>
      <x:c r="F69" s="140"/>
      <x:c r="G69" s="140"/>
      <x:c r="H69" s="140"/>
      <x:c r="I69" s="140"/>
      <x:c r="J69" s="140"/>
      <x:c r="K69" s="140"/>
      <x:c r="L69" s="140"/>
      <x:c r="M69" s="140"/>
      <x:c r="N69" s="140"/>
      <x:c r="O69" s="140"/>
      <x:c r="P69" s="140"/>
      <x:c r="Q69" s="140"/>
      <x:c r="R69" s="140"/>
    </x:row>
    <x:row r="70">
      <x:c r="B70" s="140"/>
      <x:c r="C70" s="140"/>
      <x:c r="D70" s="140"/>
      <x:c r="E70" s="140"/>
      <x:c r="F70" s="140"/>
      <x:c r="G70" s="140"/>
      <x:c r="H70" s="140"/>
      <x:c r="I70" s="140"/>
      <x:c r="J70" s="140"/>
      <x:c r="K70" s="140"/>
      <x:c r="L70" s="140"/>
      <x:c r="M70" s="140"/>
      <x:c r="N70" s="140"/>
      <x:c r="O70" s="140"/>
      <x:c r="P70" s="140"/>
      <x:c r="Q70" s="140"/>
      <x:c r="R70" s="140"/>
    </x:row>
  </x:sheetData>
  <x:mergeCells>
    <x:mergeCell ref="B2:J2"/>
    <x:mergeCell ref="B4:J4"/>
    <x:mergeCell ref="B6:F6"/>
    <x:mergeCell ref="H6:J6"/>
    <x:mergeCell ref="B19:F19"/>
    <x:mergeCell ref="B29:J29"/>
    <x:mergeCell ref="D31:J31"/>
    <x:mergeCell ref="D32:J32"/>
    <x:mergeCell ref="D33:J33"/>
    <x:mergeCell ref="D34:J34"/>
    <x:mergeCell ref="D35:J35"/>
    <x:mergeCell ref="D36:J36"/>
    <x:mergeCell ref="M2:R2"/>
  </x:mergeCells>
  <x:conditionalFormatting sqref="I7:I12">
    <x:cfRule type="expression" dxfId="152" priority="1">
      <x:formula>I7="PASS"</x:formula>
    </x:cfRule>
    <x:cfRule type="expression" dxfId="153" priority="2">
      <x:formula>I7="FAIL"</x:formula>
    </x:cfRule>
    <x:cfRule type="expression" dxfId="154" priority="3">
      <x:formula>OR(I7="REVIEW",I7="PENDING",I7="CHECK")</x:formula>
    </x:cfRule>
  </x:conditionalFormatting>
  <x:conditionalFormatting sqref="F8:F16">
    <x:cfRule type="expression" dxfId="155" priority="4">
      <x:formula>F8="PASS"</x:formula>
    </x:cfRule>
    <x:cfRule type="expression" dxfId="156" priority="5">
      <x:formula>F8="FAIL"</x:formula>
    </x:cfRule>
    <x:cfRule type="expression" dxfId="157" priority="6">
      <x:formula>OR(F8="REVIEW",F8="PENDING",F8="CHECK")</x:formula>
    </x:cfRule>
  </x:conditionalFormatting>
  <x:conditionalFormatting sqref="R4:R10">
    <x:cfRule type="expression" dxfId="158" priority="7">
      <x:formula>R4="PASS"</x:formula>
    </x:cfRule>
    <x:cfRule type="expression" dxfId="159" priority="8">
      <x:formula>R4="FAIL"</x:formula>
    </x:cfRule>
    <x:cfRule type="expression" dxfId="160" priority="9">
      <x:formula>OR(R4="REVIEW",R4="PENDING",R4="CHECK")</x:formula>
    </x:cfRule>
  </x:conditionalFormatting>
  <x:pageMargins left="0.7" right="0.7" top="0.75" bottom="0.75" header="0.3" footer="0.3"/>
</x:worksheet>
</file>

<file path=xl/worksheets/sheet36.xml><?xml version="1.0" encoding="utf-8"?>
<x:worksheet xmlns:x="http://schemas.openxmlformats.org/spreadsheetml/2006/main">
  <x:sheetFormatPr defaultRowHeight="15"/>
  <x:cols>
    <x:col min="2" max="2" width="8" hidden="0" customWidth="1"/>
    <x:col min="3" max="3" width="36" hidden="0" customWidth="1"/>
    <x:col min="4" max="4" width="18" hidden="0" customWidth="1"/>
    <x:col min="5" max="5" width="12" hidden="0" customWidth="1"/>
    <x:col min="6" max="6" width="30" hidden="0" customWidth="1"/>
    <x:col min="7" max="7" width="36" hidden="0" customWidth="1"/>
    <x:col min="8" max="8" width="12" hidden="0" customWidth="1"/>
  </x:cols>
  <x:sheetData>
    <x:row r="1">
      <x:c r="B1" s="140"/>
      <x:c r="C1" s="140"/>
      <x:c r="D1" s="140"/>
      <x:c r="E1" s="140"/>
      <x:c r="F1" s="140"/>
      <x:c r="G1" s="140"/>
      <x:c r="H1" s="140"/>
    </x:row>
    <x:row r="2" ht="28" customHeight="1">
      <x:c r="B2" s="441" t="str">
        <x:v>LONGHAND CALCULATION — GENERAL WOOD CONNECTION</x:v>
      </x:c>
      <x:c r="C2" s="441"/>
      <x:c r="D2" s="441"/>
      <x:c r="E2" s="441"/>
      <x:c r="F2" s="441"/>
      <x:c r="G2" s="441"/>
      <x:c r="H2" s="441"/>
    </x:row>
    <x:row r="3">
      <x:c r="B3" s="140"/>
      <x:c r="C3" s="140"/>
      <x:c r="D3" s="140"/>
      <x:c r="E3" s="140"/>
      <x:c r="F3" s="140"/>
      <x:c r="G3" s="140"/>
      <x:c r="H3" s="140"/>
    </x:row>
    <x:row r="4">
      <x:c r="B4" s="437" t="str">
        <x:v>Calculation trace</x:v>
      </x:c>
      <x:c r="C4" s="437" t="str"/>
      <x:c r="D4" s="437" t="str"/>
      <x:c r="E4" s="437" t="str"/>
      <x:c r="F4" s="437" t="str"/>
      <x:c r="G4" s="437" t="str"/>
      <x:c r="H4" s="437" t="str"/>
    </x:row>
    <x:row r="5">
      <x:c r="B5" s="450" t="str">
        <x:v>Step</x:v>
      </x:c>
      <x:c r="C5" s="450" t="str">
        <x:v>Parameter / equation</x:v>
      </x:c>
      <x:c r="D5" s="450" t="str">
        <x:v>Value</x:v>
      </x:c>
      <x:c r="E5" s="450" t="str">
        <x:v>Unit</x:v>
      </x:c>
      <x:c r="F5" s="450" t="str">
        <x:v>Source</x:v>
      </x:c>
      <x:c r="G5" s="450" t="str">
        <x:v>Independent check</x:v>
      </x:c>
      <x:c r="H5" s="450" t="str">
        <x:v>Status</x:v>
      </x:c>
    </x:row>
    <x:row r="6">
      <x:c r="B6" s="152" t="str">
        <x:v>1</x:v>
      </x:c>
      <x:c r="C6" s="152" t="str">
        <x:v>Connection mark</x:v>
      </x:c>
      <x:c r="D6" s="415" t="str">
        <x:f>IF('28_CONNECTIONS'!C8="","",'28_CONNECTIONS'!C8)</x:f>
      </x:c>
      <x:c r="E6" s="152" t="str"/>
      <x:c r="F6" s="152" t="str">
        <x:v>Project inputs</x:v>
      </x:c>
      <x:c r="G6" s="152" t="str"/>
      <x:c r="H6" s="152" t="str">
        <x:f>IF(D6="","PENDING","OK")</x:f>
        <x:v>PENDING</x:v>
      </x:c>
    </x:row>
    <x:row r="7">
      <x:c r="B7" s="152" t="str">
        <x:v>2</x:v>
      </x:c>
      <x:c r="C7" s="152" t="str">
        <x:v>Material pair</x:v>
      </x:c>
      <x:c r="D7" s="415" t="str">
        <x:f>IF('28_CONNECTIONS'!C10="","",'28_CONNECTIONS'!C10)</x:f>
      </x:c>
      <x:c r="E7" s="152" t="str"/>
      <x:c r="F7" s="152" t="str">
        <x:v>Project inputs</x:v>
      </x:c>
      <x:c r="G7" s="152" t="str"/>
      <x:c r="H7" s="152" t="str">
        <x:f>IF(D7="","PENDING","OK")</x:f>
        <x:v>PENDING</x:v>
      </x:c>
    </x:row>
    <x:row r="8">
      <x:c r="B8" s="152" t="str">
        <x:v>3</x:v>
      </x:c>
      <x:c r="C8" s="152" t="str">
        <x:v>Fastener / load mode</x:v>
      </x:c>
      <x:c r="D8" s="415" t="str">
        <x:f>IF('28_CONNECTIONS'!C11="","",'28_CONNECTIONS'!C11)</x:f>
      </x:c>
      <x:c r="E8" s="152" t="str"/>
      <x:c r="F8" s="152" t="str">
        <x:v>Project inputs</x:v>
      </x:c>
      <x:c r="G8" s="152" t="str"/>
      <x:c r="H8" s="152" t="str">
        <x:f>IF(D8="","PENDING","OK")</x:f>
        <x:v>PENDING</x:v>
      </x:c>
    </x:row>
    <x:row r="9">
      <x:c r="B9" s="152" t="str">
        <x:v>4</x:v>
      </x:c>
      <x:c r="C9" s="152" t="str">
        <x:v>Load/slip modulus γ</x:v>
      </x:c>
      <x:c r="D9" s="415" t="str">
        <x:f>IF('28_CONNECTIONS'!C32="","",'28_CONNECTIONS'!C32)</x:f>
      </x:c>
      <x:c r="E9" s="152" t="str">
        <x:v>lb/in</x:v>
      </x:c>
      <x:c r="F9" s="152" t="str">
        <x:v>2024 NDS Errata §11.3.6.1</x:v>
      </x:c>
      <x:c r="G9" s="152" t="str">
        <x:v>material-pair × D^1.5</x:v>
      </x:c>
      <x:c r="H9" s="152" t="str">
        <x:f>IF(D9="","PENDING","OK")</x:f>
        <x:v>PENDING</x:v>
      </x:c>
    </x:row>
    <x:row r="10">
      <x:c r="B10" s="152" t="str">
        <x:v>5</x:v>
      </x:c>
      <x:c r="C10" s="152" t="str">
        <x:v>Stiffness ratio RE</x:v>
      </x:c>
      <x:c r="D10" s="415" t="str">
        <x:f>IF('28_CONNECTIONS'!C33="","",'28_CONNECTIONS'!C33)</x:f>
      </x:c>
      <x:c r="E10" s="152" t="str"/>
      <x:c r="F10" s="152" t="str">
        <x:v>2024 NDS Errata</x:v>
      </x:c>
      <x:c r="G10" s="152" t="str">
        <x:v>min(EsAs/EmAm, reciprocal)</x:v>
      </x:c>
      <x:c r="H10" s="152" t="str">
        <x:f>IF(D10="","PENDING","OK")</x:f>
        <x:v>PENDING</x:v>
      </x:c>
    </x:row>
    <x:row r="11">
      <x:c r="B11" s="152" t="str">
        <x:v>6</x:v>
      </x:c>
      <x:c r="C11" s="152" t="str">
        <x:v>u</x:v>
      </x:c>
      <x:c r="D11" s="415" t="str">
        <x:f>IF('28_CONNECTIONS'!C34="","",'28_CONNECTIONS'!C34)</x:f>
      </x:c>
      <x:c r="E11" s="152" t="str"/>
      <x:c r="F11" s="152" t="str">
        <x:v>2024 NDS Errata</x:v>
      </x:c>
      <x:c r="G11" s="152" t="str">
        <x:v>group-action equation</x:v>
      </x:c>
      <x:c r="H11" s="152" t="str">
        <x:f>IF(D11="","PENDING","OK")</x:f>
        <x:v>PENDING</x:v>
      </x:c>
    </x:row>
    <x:row r="12">
      <x:c r="B12" s="152" t="str">
        <x:v>7</x:v>
      </x:c>
      <x:c r="C12" s="152" t="str">
        <x:v>m</x:v>
      </x:c>
      <x:c r="D12" s="415" t="str">
        <x:f>IF('28_CONNECTIONS'!C35="","",'28_CONNECTIONS'!C35)</x:f>
      </x:c>
      <x:c r="E12" s="152" t="str"/>
      <x:c r="F12" s="152" t="str">
        <x:v>2024 NDS Errata</x:v>
      </x:c>
      <x:c r="G12" s="152" t="str">
        <x:v>u − √(u²−1)</x:v>
      </x:c>
      <x:c r="H12" s="152" t="str">
        <x:f>IF(D12="","PENDING","OK")</x:f>
        <x:v>PENDING</x:v>
      </x:c>
    </x:row>
    <x:row r="13">
      <x:c r="B13" s="152" t="str">
        <x:v>8</x:v>
      </x:c>
      <x:c r="C13" s="152" t="str">
        <x:v>Group-action factor Cg</x:v>
      </x:c>
      <x:c r="D13" s="415" t="str">
        <x:f>IF('28_CONNECTIONS'!C36="","",'28_CONNECTIONS'!C36)</x:f>
      </x:c>
      <x:c r="E13" s="152" t="str"/>
      <x:c r="F13" s="152" t="str">
        <x:v>2024 NDS Errata Eq. 11.3-1</x:v>
      </x:c>
      <x:c r="G13" s="152" t="str">
        <x:v>independent locked benchmark</x:v>
      </x:c>
      <x:c r="H13" s="152" t="str">
        <x:f>IF(D13="","PENDING","OK")</x:f>
        <x:v>PENDING</x:v>
      </x:c>
    </x:row>
    <x:row r="14">
      <x:c r="B14" s="152" t="str">
        <x:v>9</x:v>
      </x:c>
      <x:c r="C14" s="152" t="str">
        <x:v>Total allowable lateral capacity</x:v>
      </x:c>
      <x:c r="D14" s="415" t="str">
        <x:f>IF('28_CONNECTIONS'!C42="","",'28_CONNECTIONS'!C42)</x:f>
      </x:c>
      <x:c r="E14" s="152" t="str">
        <x:v>lb</x:v>
      </x:c>
      <x:c r="F14" s="152" t="str">
        <x:v>NDS/source-controlled Z′</x:v>
      </x:c>
      <x:c r="G14" s="152" t="str">
        <x:v>Z′ × n × Cg × Cother</x:v>
      </x:c>
      <x:c r="H14" s="152" t="str">
        <x:f>IF(D14="","PENDING","OK")</x:f>
        <x:v>PENDING</x:v>
      </x:c>
    </x:row>
    <x:row r="15">
      <x:c r="B15" s="152" t="str">
        <x:v>10</x:v>
      </x:c>
      <x:c r="C15" s="152" t="str">
        <x:v>Lateral D/C</x:v>
      </x:c>
      <x:c r="D15" s="415" t="str">
        <x:f>IF('28_CONNECTIONS'!C43="","",'28_CONNECTIONS'!C43)</x:f>
      </x:c>
      <x:c r="E15" s="152" t="str"/>
      <x:c r="F15" s="152" t="str">
        <x:v>Demand/capacity</x:v>
      </x:c>
      <x:c r="G15" s="152" t="str">
        <x:v>V / capacity</x:v>
      </x:c>
      <x:c r="H15" s="152" t="str">
        <x:f>IF(D15="","PENDING","OK")</x:f>
        <x:v>PENDING</x:v>
      </x:c>
    </x:row>
    <x:row r="16">
      <x:c r="B16" s="152" t="str">
        <x:v>11</x:v>
      </x:c>
      <x:c r="C16" s="152" t="str">
        <x:v>Effective single withdrawal</x:v>
      </x:c>
      <x:c r="D16" s="415" t="str">
        <x:f>IF('28_CONNECTIONS'!C44="","",'28_CONNECTIONS'!C44)</x:f>
      </x:c>
      <x:c r="E16" s="152" t="str">
        <x:v>lb</x:v>
      </x:c>
      <x:c r="F16" s="152" t="str">
        <x:v>NDS/source-controlled W′/Pt′</x:v>
      </x:c>
      <x:c r="G16" s="152" t="str">
        <x:v>min applicable withdrawal/head pull-through</x:v>
      </x:c>
      <x:c r="H16" s="152" t="str">
        <x:f>IF(D16="","PENDING","OK")</x:f>
        <x:v>PENDING</x:v>
      </x:c>
    </x:row>
    <x:row r="17">
      <x:c r="B17" s="152" t="str">
        <x:v>12</x:v>
      </x:c>
      <x:c r="C17" s="152" t="str">
        <x:v>Total allowable withdrawal capacity</x:v>
      </x:c>
      <x:c r="D17" s="415" t="str">
        <x:f>IF('28_CONNECTIONS'!C45="","",'28_CONNECTIONS'!C45)</x:f>
      </x:c>
      <x:c r="E17" s="152" t="str">
        <x:v>lb</x:v>
      </x:c>
      <x:c r="F17" s="152" t="str">
        <x:v>NDS/source-controlled</x:v>
      </x:c>
      <x:c r="G17" s="152" t="str">
        <x:v>Weff × n × Cother</x:v>
      </x:c>
      <x:c r="H17" s="152" t="str">
        <x:f>IF(D17="","PENDING","OK")</x:f>
        <x:v>PENDING</x:v>
      </x:c>
    </x:row>
    <x:row r="18">
      <x:c r="B18" s="152" t="str">
        <x:v>13</x:v>
      </x:c>
      <x:c r="C18" s="152" t="str">
        <x:v>Withdrawal D/C</x:v>
      </x:c>
      <x:c r="D18" s="415" t="str">
        <x:f>IF('28_CONNECTIONS'!C46="","",'28_CONNECTIONS'!C46)</x:f>
      </x:c>
      <x:c r="E18" s="152" t="str"/>
      <x:c r="F18" s="152" t="str">
        <x:v>Demand/capacity</x:v>
      </x:c>
      <x:c r="G18" s="152" t="str">
        <x:v>T / capacity</x:v>
      </x:c>
      <x:c r="H18" s="152" t="str">
        <x:f>IF(D18="","PENDING","OK")</x:f>
        <x:v>PENDING</x:v>
      </x:c>
    </x:row>
    <x:row r="19">
      <x:c r="B19" s="152" t="str">
        <x:v>14</x:v>
      </x:c>
      <x:c r="C19" s="152" t="str">
        <x:v>Governing utilization</x:v>
      </x:c>
      <x:c r="D19" s="415" t="str">
        <x:f>IF('28_CONNECTIONS'!C47="","",'28_CONNECTIONS'!C47)</x:f>
      </x:c>
      <x:c r="E19" s="152" t="str"/>
      <x:c r="F19" s="152" t="str">
        <x:v>28_CONNECTIONS</x:v>
      </x:c>
      <x:c r="G19" s="152" t="str">
        <x:v>max separate checks</x:v>
      </x:c>
      <x:c r="H19" s="152" t="str">
        <x:f>IF(D19="","PENDING","OK")</x:f>
        <x:v>PENDING</x:v>
      </x:c>
    </x:row>
    <x:row r="20">
      <x:c r="B20" s="152" t="str">
        <x:v>15</x:v>
      </x:c>
      <x:c r="C20" s="152" t="str">
        <x:v>Module status</x:v>
      </x:c>
      <x:c r="D20" s="415" t="str">
        <x:f>IF('28_CONNECTIONS'!I13="","",'28_CONNECTIONS'!I13)</x:f>
        <x:v>PENDING</x:v>
      </x:c>
      <x:c r="E20" s="152" t="str"/>
      <x:c r="F20" s="152" t="str">
        <x:v>28_CONNECTIONS</x:v>
      </x:c>
      <x:c r="G20" s="152" t="str"/>
      <x:c r="H20" s="152" t="str">
        <x:f>IF(D20="","PENDING","OK")</x:f>
        <x:v>OK</x:v>
      </x:c>
    </x:row>
    <x:row r="21">
      <x:c r="B21" s="140"/>
      <x:c r="C21" s="140"/>
      <x:c r="D21" s="239"/>
      <x:c r="E21" s="140"/>
      <x:c r="F21" s="140"/>
      <x:c r="G21" s="140"/>
      <x:c r="H21" s="140"/>
    </x:row>
    <x:row r="22">
      <x:c r="B22" s="140"/>
      <x:c r="C22" s="140"/>
      <x:c r="D22" s="239"/>
      <x:c r="E22" s="140"/>
      <x:c r="F22" s="140"/>
      <x:c r="G22" s="140"/>
      <x:c r="H22" s="140"/>
    </x:row>
    <x:row r="23">
      <x:c r="B23" s="453" t="str">
        <x:v>Publication note: the workbook does not invent single-fastener capacities. The calculation page identifies the exact source record used for Z′, W′, and head pull-through, then shows group action, aggregation, demand/capacity, and QA. Combined loading and geometry/detail provisions remain explicit engineering review gates.</x:v>
      </x:c>
      <x:c r="C23" s="453"/>
      <x:c r="D23" s="456"/>
      <x:c r="E23" s="453"/>
      <x:c r="F23" s="453"/>
      <x:c r="G23" s="453"/>
      <x:c r="H23" s="453"/>
    </x:row>
    <x:row r="24">
      <x:c r="B24" s="453"/>
      <x:c r="C24" s="453"/>
      <x:c r="D24" s="456"/>
      <x:c r="E24" s="453"/>
      <x:c r="F24" s="453"/>
      <x:c r="G24" s="453"/>
      <x:c r="H24" s="453"/>
    </x:row>
    <x:row r="25">
      <x:c r="B25" s="453"/>
      <x:c r="C25" s="453"/>
      <x:c r="D25" s="456"/>
      <x:c r="E25" s="453"/>
      <x:c r="F25" s="453"/>
      <x:c r="G25" s="453"/>
      <x:c r="H25" s="453"/>
    </x:row>
    <x:row r="26">
      <x:c r="B26" s="453"/>
      <x:c r="C26" s="453"/>
      <x:c r="D26" s="456"/>
      <x:c r="E26" s="453"/>
      <x:c r="F26" s="453"/>
      <x:c r="G26" s="453"/>
      <x:c r="H26" s="453"/>
    </x:row>
    <x:row r="27">
      <x:c r="B27" s="140"/>
      <x:c r="C27" s="140"/>
      <x:c r="D27" s="239"/>
      <x:c r="E27" s="140"/>
      <x:c r="F27" s="140"/>
      <x:c r="G27" s="140"/>
      <x:c r="H27" s="140"/>
    </x:row>
    <x:row r="28">
      <x:c r="B28" s="140"/>
      <x:c r="C28" s="140"/>
      <x:c r="D28" s="239"/>
      <x:c r="E28" s="140"/>
      <x:c r="F28" s="140"/>
      <x:c r="G28" s="140"/>
      <x:c r="H28" s="140"/>
    </x:row>
    <x:row r="29">
      <x:c r="B29" s="140"/>
      <x:c r="C29" s="140"/>
      <x:c r="D29" s="239"/>
      <x:c r="E29" s="140"/>
      <x:c r="F29" s="140"/>
      <x:c r="G29" s="140"/>
      <x:c r="H29" s="140"/>
    </x:row>
    <x:row r="30">
      <x:c r="B30" s="140"/>
      <x:c r="C30" s="140"/>
      <x:c r="D30" s="239"/>
      <x:c r="E30" s="140"/>
      <x:c r="F30" s="140"/>
      <x:c r="G30" s="140"/>
      <x:c r="H30" s="140"/>
    </x:row>
    <x:row r="31">
      <x:c r="B31" s="140"/>
      <x:c r="C31" s="140"/>
      <x:c r="D31" s="140"/>
      <x:c r="E31" s="140"/>
      <x:c r="F31" s="140"/>
      <x:c r="G31" s="140"/>
      <x:c r="H31" s="140"/>
    </x:row>
    <x:row r="32">
      <x:c r="B32" s="140"/>
      <x:c r="C32" s="140"/>
      <x:c r="D32" s="140"/>
      <x:c r="E32" s="140"/>
      <x:c r="F32" s="140"/>
      <x:c r="G32" s="140"/>
      <x:c r="H32" s="140"/>
    </x:row>
    <x:row r="33">
      <x:c r="B33" s="140"/>
      <x:c r="C33" s="140"/>
      <x:c r="D33" s="140"/>
      <x:c r="E33" s="140"/>
      <x:c r="F33" s="140"/>
      <x:c r="G33" s="140"/>
      <x:c r="H33" s="140"/>
    </x:row>
    <x:row r="34">
      <x:c r="B34" s="140"/>
      <x:c r="C34" s="140"/>
      <x:c r="D34" s="140"/>
      <x:c r="E34" s="140"/>
      <x:c r="F34" s="140"/>
      <x:c r="G34" s="140"/>
      <x:c r="H34" s="140"/>
    </x:row>
    <x:row r="35">
      <x:c r="B35" s="140"/>
      <x:c r="C35" s="140"/>
      <x:c r="D35" s="140"/>
      <x:c r="E35" s="140"/>
      <x:c r="F35" s="140"/>
      <x:c r="G35" s="140"/>
      <x:c r="H35" s="140"/>
    </x:row>
  </x:sheetData>
  <x:mergeCells>
    <x:mergeCell ref="B2:H2"/>
    <x:mergeCell ref="B23:H26"/>
  </x:mergeCells>
  <x:pageMargins left="0.7" right="0.7" top="0.75" bottom="0.75" header="0.3" footer="0.3"/>
</x:worksheet>
</file>

<file path=xl/worksheets/sheet37.xml><?xml version="1.0" encoding="utf-8"?>
<x:worksheet xmlns:x="http://schemas.openxmlformats.org/spreadsheetml/2006/main">
  <x:sheetFormatPr defaultRowHeight="15"/>
  <x:cols>
    <x:col min="2" max="2" width="8" hidden="0" customWidth="1"/>
    <x:col min="3" max="3" width="36" hidden="0" customWidth="1"/>
    <x:col min="4" max="4" width="18" hidden="0" customWidth="1"/>
    <x:col min="5" max="5" width="12" hidden="0" customWidth="1"/>
    <x:col min="6" max="6" width="30" hidden="0" customWidth="1"/>
    <x:col min="7" max="7" width="36" hidden="0" customWidth="1"/>
    <x:col min="8" max="8" width="12" hidden="0" customWidth="1"/>
  </x:cols>
  <x:sheetData>
    <x:row r="1">
      <x:c r="B1" s="140"/>
      <x:c r="C1" s="140"/>
      <x:c r="D1" s="140"/>
      <x:c r="E1" s="140"/>
      <x:c r="F1" s="140"/>
      <x:c r="G1" s="140"/>
      <x:c r="H1" s="140"/>
    </x:row>
    <x:row r="2" ht="28" customHeight="1">
      <x:c r="B2" s="441" t="str">
        <x:v>LONGHAND CALCULATION — HOLDOWN / TENSION TIE</x:v>
      </x:c>
      <x:c r="C2" s="441"/>
      <x:c r="D2" s="441"/>
      <x:c r="E2" s="441"/>
      <x:c r="F2" s="441"/>
      <x:c r="G2" s="441"/>
      <x:c r="H2" s="441"/>
    </x:row>
    <x:row r="3">
      <x:c r="B3" s="140"/>
      <x:c r="C3" s="140"/>
      <x:c r="D3" s="140"/>
      <x:c r="E3" s="140"/>
      <x:c r="F3" s="140"/>
      <x:c r="G3" s="140"/>
      <x:c r="H3" s="140"/>
    </x:row>
    <x:row r="4">
      <x:c r="B4" s="437" t="str">
        <x:v>Calculation trace</x:v>
      </x:c>
      <x:c r="C4" s="437" t="str"/>
      <x:c r="D4" s="437" t="str"/>
      <x:c r="E4" s="437" t="str"/>
      <x:c r="F4" s="437" t="str"/>
      <x:c r="G4" s="437" t="str"/>
      <x:c r="H4" s="437" t="str"/>
    </x:row>
    <x:row r="5">
      <x:c r="B5" s="450" t="str">
        <x:v>Step</x:v>
      </x:c>
      <x:c r="C5" s="450" t="str">
        <x:v>Parameter / equation</x:v>
      </x:c>
      <x:c r="D5" s="450" t="str">
        <x:v>Value</x:v>
      </x:c>
      <x:c r="E5" s="450" t="str">
        <x:v>Unit</x:v>
      </x:c>
      <x:c r="F5" s="450" t="str">
        <x:v>Source</x:v>
      </x:c>
      <x:c r="G5" s="450" t="str">
        <x:v>Independent check</x:v>
      </x:c>
      <x:c r="H5" s="450" t="str">
        <x:v>Status</x:v>
      </x:c>
    </x:row>
    <x:row r="6">
      <x:c r="B6" s="152" t="str">
        <x:v>1</x:v>
      </x:c>
      <x:c r="C6" s="152" t="str">
        <x:v>Holdown mark</x:v>
      </x:c>
      <x:c r="D6" s="415" t="str">
        <x:f>IF('29_HOLDOWN'!C8="","",'29_HOLDOWN'!C8)</x:f>
      </x:c>
      <x:c r="E6" s="152" t="str"/>
      <x:c r="F6" s="152" t="str">
        <x:v>Project inputs</x:v>
      </x:c>
      <x:c r="G6" s="152" t="str"/>
      <x:c r="H6" s="152" t="str">
        <x:f>IF(D6="","PENDING","OK")</x:f>
        <x:v>PENDING</x:v>
      </x:c>
    </x:row>
    <x:row r="7">
      <x:c r="B7" s="152" t="str">
        <x:v>2</x:v>
      </x:c>
      <x:c r="C7" s="152" t="str">
        <x:v>Tension demand</x:v>
      </x:c>
      <x:c r="D7" s="415" t="str">
        <x:f>IF('29_HOLDOWN'!C11="","",'29_HOLDOWN'!C11)</x:f>
      </x:c>
      <x:c r="E7" s="152" t="str">
        <x:v>lb</x:v>
      </x:c>
      <x:c r="F7" s="152" t="str">
        <x:v>Load path</x:v>
      </x:c>
      <x:c r="G7" s="152" t="str"/>
      <x:c r="H7" s="152" t="str">
        <x:f>IF(D7="","PENDING","OK")</x:f>
        <x:v>PENDING</x:v>
      </x:c>
    </x:row>
    <x:row r="8">
      <x:c r="B8" s="152" t="str">
        <x:v>3</x:v>
      </x:c>
      <x:c r="C8" s="152" t="str">
        <x:v>Published allowable tension</x:v>
      </x:c>
      <x:c r="D8" s="415" t="str">
        <x:f>IF('29_HOLDOWN'!C12="","",'29_HOLDOWN'!C12)</x:f>
      </x:c>
      <x:c r="E8" s="152" t="str">
        <x:v>lb</x:v>
      </x:c>
      <x:c r="F8" s="152" t="str">
        <x:v>Manufacturer / evaluation report</x:v>
      </x:c>
      <x:c r="G8" s="152" t="str">
        <x:v>source record required</x:v>
      </x:c>
      <x:c r="H8" s="152" t="str">
        <x:f>IF(D8="","PENDING","OK")</x:f>
        <x:v>PENDING</x:v>
      </x:c>
    </x:row>
    <x:row r="9">
      <x:c r="B9" s="152" t="str">
        <x:v>4</x:v>
      </x:c>
      <x:c r="C9" s="152" t="str">
        <x:v>Adjusted allowable</x:v>
      </x:c>
      <x:c r="D9" s="415" t="str">
        <x:f>IF('29_HOLDOWN'!C29="","",'29_HOLDOWN'!C29)</x:f>
      </x:c>
      <x:c r="E9" s="152" t="str">
        <x:v>lb</x:v>
      </x:c>
      <x:c r="F9" s="152" t="str">
        <x:v>29_HOLDOWN</x:v>
      </x:c>
      <x:c r="G9" s="152" t="str">
        <x:v>published × Cother</x:v>
      </x:c>
      <x:c r="H9" s="152" t="str">
        <x:f>IF(D9="","PENDING","OK")</x:f>
        <x:v>PENDING</x:v>
      </x:c>
    </x:row>
    <x:row r="10">
      <x:c r="B10" s="152" t="str">
        <x:v>5</x:v>
      </x:c>
      <x:c r="C10" s="152" t="str">
        <x:v>Holdown D/C</x:v>
      </x:c>
      <x:c r="D10" s="415" t="str">
        <x:f>IF('29_HOLDOWN'!C30="","",'29_HOLDOWN'!C30)</x:f>
      </x:c>
      <x:c r="E10" s="152" t="str"/>
      <x:c r="F10" s="152" t="str">
        <x:v>Demand/capacity</x:v>
      </x:c>
      <x:c r="G10" s="152" t="str">
        <x:v>T / allowable</x:v>
      </x:c>
      <x:c r="H10" s="152" t="str">
        <x:f>IF(D10="","PENDING","OK")</x:f>
        <x:v>PENDING</x:v>
      </x:c>
    </x:row>
    <x:row r="11">
      <x:c r="B11" s="152" t="str">
        <x:v>6</x:v>
      </x:c>
      <x:c r="C11" s="152" t="str">
        <x:v>Post D/C</x:v>
      </x:c>
      <x:c r="D11" s="415" t="str">
        <x:f>IF('29_HOLDOWN'!C31="","",'29_HOLDOWN'!C31)</x:f>
      </x:c>
      <x:c r="E11" s="152" t="str"/>
      <x:c r="F11" s="152" t="str">
        <x:v>NDS member design</x:v>
      </x:c>
      <x:c r="G11" s="152" t="str">
        <x:v>T / post capacity</x:v>
      </x:c>
      <x:c r="H11" s="152" t="str">
        <x:f>IF(D11="","PENDING","OK")</x:f>
        <x:v>PENDING</x:v>
      </x:c>
    </x:row>
    <x:row r="12">
      <x:c r="B12" s="152" t="str">
        <x:v>7</x:v>
      </x:c>
      <x:c r="C12" s="152" t="str">
        <x:v>Additional rod length</x:v>
      </x:c>
      <x:c r="D12" s="415" t="str">
        <x:f>IF('29_HOLDOWN'!C33="","",'29_HOLDOWN'!C33)</x:f>
      </x:c>
      <x:c r="E12" s="152" t="str">
        <x:v>in</x:v>
      </x:c>
      <x:c r="F12" s="152" t="str">
        <x:v>Project geometry</x:v>
      </x:c>
      <x:c r="G12" s="152" t="str">
        <x:v>max(0, actual − reference)</x:v>
      </x:c>
      <x:c r="H12" s="152" t="str">
        <x:f>IF(D12="","PENDING","OK")</x:f>
        <x:v>PENDING</x:v>
      </x:c>
    </x:row>
    <x:row r="13">
      <x:c r="B13" s="152" t="str">
        <x:v>8</x:v>
      </x:c>
      <x:c r="C13" s="152" t="str">
        <x:v>Additional rod elongation</x:v>
      </x:c>
      <x:c r="D13" s="415" t="str">
        <x:f>IF('29_HOLDOWN'!C34="","",'29_HOLDOWN'!C34)</x:f>
      </x:c>
      <x:c r="E13" s="152" t="str">
        <x:v>in</x:v>
      </x:c>
      <x:c r="F13" s="152" t="str">
        <x:v>Elastic mechanics</x:v>
      </x:c>
      <x:c r="G13" s="152" t="str">
        <x:v>PL/AE</x:v>
      </x:c>
      <x:c r="H13" s="152" t="str">
        <x:f>IF(D13="","PENDING","OK")</x:f>
        <x:v>PENDING</x:v>
      </x:c>
    </x:row>
    <x:row r="14">
      <x:c r="B14" s="152" t="str">
        <x:v>9</x:v>
      </x:c>
      <x:c r="C14" s="152" t="str">
        <x:v>Scaled published deformation</x:v>
      </x:c>
      <x:c r="D14" s="415" t="str">
        <x:f>IF('29_HOLDOWN'!C35="","",'29_HOLDOWN'!C35)</x:f>
      </x:c>
      <x:c r="E14" s="152" t="str">
        <x:v>in</x:v>
      </x:c>
      <x:c r="F14" s="152" t="str">
        <x:v>Screening estimate</x:v>
      </x:c>
      <x:c r="G14" s="152" t="str">
        <x:v>δpublished × demand/allowable</x:v>
      </x:c>
      <x:c r="H14" s="152" t="str">
        <x:f>IF(D14="","PENDING","OK")</x:f>
        <x:v>PENDING</x:v>
      </x:c>
    </x:row>
    <x:row r="15">
      <x:c r="B15" s="152" t="str">
        <x:v>10</x:v>
      </x:c>
      <x:c r="C15" s="152" t="str">
        <x:v>Estimated total deformation</x:v>
      </x:c>
      <x:c r="D15" s="415" t="str">
        <x:f>IF('29_HOLDOWN'!C36="","",'29_HOLDOWN'!C36)</x:f>
      </x:c>
      <x:c r="E15" s="152" t="str">
        <x:v>in</x:v>
      </x:c>
      <x:c r="F15" s="152" t="str">
        <x:v>29_HOLDOWN</x:v>
      </x:c>
      <x:c r="G15" s="152" t="str">
        <x:v>published component + extra rod</x:v>
      </x:c>
      <x:c r="H15" s="152" t="str">
        <x:f>IF(D15="","PENDING","OK")</x:f>
        <x:v>PENDING</x:v>
      </x:c>
    </x:row>
    <x:row r="16">
      <x:c r="B16" s="152" t="str">
        <x:v>11</x:v>
      </x:c>
      <x:c r="C16" s="152" t="str">
        <x:v>Governing strength D/C</x:v>
      </x:c>
      <x:c r="D16" s="415" t="str">
        <x:f>IF('29_HOLDOWN'!C37="","",'29_HOLDOWN'!C37)</x:f>
        <x:v>PENDING</x:v>
      </x:c>
      <x:c r="E16" s="152" t="str"/>
      <x:c r="F16" s="152" t="str">
        <x:v>29_HOLDOWN</x:v>
      </x:c>
      <x:c r="G16" s="152" t="str">
        <x:v>max holdown/post</x:v>
      </x:c>
      <x:c r="H16" s="152" t="str">
        <x:f>IF(D16="","PENDING","OK")</x:f>
        <x:v>OK</x:v>
      </x:c>
    </x:row>
    <x:row r="17">
      <x:c r="B17" s="152" t="str">
        <x:v>12</x:v>
      </x:c>
      <x:c r="C17" s="152" t="str">
        <x:v>Module status</x:v>
      </x:c>
      <x:c r="D17" s="415" t="str">
        <x:f>IF('29_HOLDOWN'!I13="","",'29_HOLDOWN'!I13)</x:f>
        <x:v>PENDING</x:v>
      </x:c>
      <x:c r="E17" s="152" t="str"/>
      <x:c r="F17" s="152" t="str">
        <x:v>29_HOLDOWN</x:v>
      </x:c>
      <x:c r="G17" s="152" t="str"/>
      <x:c r="H17" s="152" t="str">
        <x:f>IF(D17="","PENDING","OK")</x:f>
        <x:v>OK</x:v>
      </x:c>
    </x:row>
    <x:row r="18">
      <x:c r="B18" s="140"/>
      <x:c r="C18" s="140"/>
      <x:c r="D18" s="239"/>
      <x:c r="E18" s="140"/>
      <x:c r="F18" s="140"/>
      <x:c r="G18" s="140"/>
      <x:c r="H18" s="140"/>
    </x:row>
    <x:row r="19">
      <x:c r="B19" s="140"/>
      <x:c r="C19" s="140"/>
      <x:c r="D19" s="239"/>
      <x:c r="E19" s="140"/>
      <x:c r="F19" s="140"/>
      <x:c r="G19" s="140"/>
      <x:c r="H19" s="140"/>
    </x:row>
    <x:row r="20">
      <x:c r="B20" s="453" t="str">
        <x:v>Publication note: product capacity/deformation must remain tied to the current manufacturer or evaluation report. The elastic rod-elongation term only adds length beyond the deformation basis stated by that product source; it does not replace the proprietary test data.</x:v>
      </x:c>
      <x:c r="C20" s="453"/>
      <x:c r="D20" s="456"/>
      <x:c r="E20" s="453"/>
      <x:c r="F20" s="453"/>
      <x:c r="G20" s="453"/>
      <x:c r="H20" s="453"/>
    </x:row>
    <x:row r="21">
      <x:c r="B21" s="453"/>
      <x:c r="C21" s="453"/>
      <x:c r="D21" s="456"/>
      <x:c r="E21" s="453"/>
      <x:c r="F21" s="453"/>
      <x:c r="G21" s="453"/>
      <x:c r="H21" s="453"/>
    </x:row>
    <x:row r="22">
      <x:c r="B22" s="453"/>
      <x:c r="C22" s="453"/>
      <x:c r="D22" s="456"/>
      <x:c r="E22" s="453"/>
      <x:c r="F22" s="453"/>
      <x:c r="G22" s="453"/>
      <x:c r="H22" s="453"/>
    </x:row>
    <x:row r="23">
      <x:c r="B23" s="453"/>
      <x:c r="C23" s="453"/>
      <x:c r="D23" s="456"/>
      <x:c r="E23" s="453"/>
      <x:c r="F23" s="453"/>
      <x:c r="G23" s="453"/>
      <x:c r="H23" s="453"/>
    </x:row>
    <x:row r="24">
      <x:c r="B24" s="140"/>
      <x:c r="C24" s="140"/>
      <x:c r="D24" s="239"/>
      <x:c r="E24" s="140"/>
      <x:c r="F24" s="140"/>
      <x:c r="G24" s="140"/>
      <x:c r="H24" s="140"/>
    </x:row>
    <x:row r="25">
      <x:c r="B25" s="140"/>
      <x:c r="C25" s="140"/>
      <x:c r="D25" s="239"/>
      <x:c r="E25" s="140"/>
      <x:c r="F25" s="140"/>
      <x:c r="G25" s="140"/>
      <x:c r="H25" s="140"/>
    </x:row>
    <x:row r="26">
      <x:c r="B26" s="140"/>
      <x:c r="C26" s="140"/>
      <x:c r="D26" s="239"/>
      <x:c r="E26" s="140"/>
      <x:c r="F26" s="140"/>
      <x:c r="G26" s="140"/>
      <x:c r="H26" s="140"/>
    </x:row>
    <x:row r="27">
      <x:c r="B27" s="140"/>
      <x:c r="C27" s="140"/>
      <x:c r="D27" s="239"/>
      <x:c r="E27" s="140"/>
      <x:c r="F27" s="140"/>
      <x:c r="G27" s="140"/>
      <x:c r="H27" s="140"/>
    </x:row>
    <x:row r="28">
      <x:c r="B28" s="140"/>
      <x:c r="C28" s="140"/>
      <x:c r="D28" s="239"/>
      <x:c r="E28" s="140"/>
      <x:c r="F28" s="140"/>
      <x:c r="G28" s="140"/>
      <x:c r="H28" s="140"/>
    </x:row>
    <x:row r="29">
      <x:c r="B29" s="140"/>
      <x:c r="C29" s="140"/>
      <x:c r="D29" s="239"/>
      <x:c r="E29" s="140"/>
      <x:c r="F29" s="140"/>
      <x:c r="G29" s="140"/>
      <x:c r="H29" s="140"/>
    </x:row>
    <x:row r="30">
      <x:c r="B30" s="140"/>
      <x:c r="C30" s="140"/>
      <x:c r="D30" s="239"/>
      <x:c r="E30" s="140"/>
      <x:c r="F30" s="140"/>
      <x:c r="G30" s="140"/>
      <x:c r="H30" s="140"/>
    </x:row>
    <x:row r="31">
      <x:c r="B31" s="140"/>
      <x:c r="C31" s="140"/>
      <x:c r="D31" s="140"/>
      <x:c r="E31" s="140"/>
      <x:c r="F31" s="140"/>
      <x:c r="G31" s="140"/>
      <x:c r="H31" s="140"/>
    </x:row>
    <x:row r="32">
      <x:c r="B32" s="140"/>
      <x:c r="C32" s="140"/>
      <x:c r="D32" s="140"/>
      <x:c r="E32" s="140"/>
      <x:c r="F32" s="140"/>
      <x:c r="G32" s="140"/>
      <x:c r="H32" s="140"/>
    </x:row>
    <x:row r="33">
      <x:c r="B33" s="140"/>
      <x:c r="C33" s="140"/>
      <x:c r="D33" s="140"/>
      <x:c r="E33" s="140"/>
      <x:c r="F33" s="140"/>
      <x:c r="G33" s="140"/>
      <x:c r="H33" s="140"/>
    </x:row>
    <x:row r="34">
      <x:c r="B34" s="140"/>
      <x:c r="C34" s="140"/>
      <x:c r="D34" s="140"/>
      <x:c r="E34" s="140"/>
      <x:c r="F34" s="140"/>
      <x:c r="G34" s="140"/>
      <x:c r="H34" s="140"/>
    </x:row>
    <x:row r="35">
      <x:c r="B35" s="140"/>
      <x:c r="C35" s="140"/>
      <x:c r="D35" s="140"/>
      <x:c r="E35" s="140"/>
      <x:c r="F35" s="140"/>
      <x:c r="G35" s="140"/>
      <x:c r="H35" s="140"/>
    </x:row>
  </x:sheetData>
  <x:mergeCells>
    <x:mergeCell ref="B2:H2"/>
    <x:mergeCell ref="B20:H23"/>
  </x:mergeCells>
  <x:pageMargins left="0.7" right="0.7" top="0.75" bottom="0.75" header="0.3" footer="0.3"/>
</x:worksheet>
</file>

<file path=xl/worksheets/sheet38.xml><?xml version="1.0" encoding="utf-8"?>
<x:worksheet xmlns:x="http://schemas.openxmlformats.org/spreadsheetml/2006/main">
  <x:sheetFormatPr defaultRowHeight="15"/>
  <x:cols>
    <x:col min="2" max="2" width="8" hidden="0" customWidth="1"/>
    <x:col min="3" max="3" width="36" hidden="0" customWidth="1"/>
    <x:col min="4" max="4" width="18" hidden="0" customWidth="1"/>
    <x:col min="5" max="5" width="12" hidden="0" customWidth="1"/>
    <x:col min="6" max="6" width="30" hidden="0" customWidth="1"/>
    <x:col min="7" max="7" width="36" hidden="0" customWidth="1"/>
    <x:col min="8" max="8" width="12" hidden="0" customWidth="1"/>
  </x:cols>
  <x:sheetData>
    <x:row r="1">
      <x:c r="B1" s="140"/>
      <x:c r="C1" s="140"/>
      <x:c r="D1" s="140"/>
      <x:c r="E1" s="140"/>
      <x:c r="F1" s="140"/>
      <x:c r="G1" s="140"/>
      <x:c r="H1" s="140"/>
    </x:row>
    <x:row r="2" ht="28" customHeight="1">
      <x:c r="B2" s="441" t="str">
        <x:v>LONGHAND CALCULATION — SILL / ANCHOR LINE</x:v>
      </x:c>
      <x:c r="C2" s="441"/>
      <x:c r="D2" s="441"/>
      <x:c r="E2" s="441"/>
      <x:c r="F2" s="441"/>
      <x:c r="G2" s="441"/>
      <x:c r="H2" s="441"/>
    </x:row>
    <x:row r="3">
      <x:c r="B3" s="140"/>
      <x:c r="C3" s="140"/>
      <x:c r="D3" s="140"/>
      <x:c r="E3" s="140"/>
      <x:c r="F3" s="140"/>
      <x:c r="G3" s="140"/>
      <x:c r="H3" s="140"/>
    </x:row>
    <x:row r="4">
      <x:c r="B4" s="437" t="str">
        <x:v>Calculation trace</x:v>
      </x:c>
      <x:c r="C4" s="437" t="str"/>
      <x:c r="D4" s="437" t="str"/>
      <x:c r="E4" s="437" t="str"/>
      <x:c r="F4" s="437" t="str"/>
      <x:c r="G4" s="437" t="str"/>
      <x:c r="H4" s="437" t="str"/>
    </x:row>
    <x:row r="5">
      <x:c r="B5" s="450" t="str">
        <x:v>Step</x:v>
      </x:c>
      <x:c r="C5" s="450" t="str">
        <x:v>Parameter / equation</x:v>
      </x:c>
      <x:c r="D5" s="450" t="str">
        <x:v>Value</x:v>
      </x:c>
      <x:c r="E5" s="450" t="str">
        <x:v>Unit</x:v>
      </x:c>
      <x:c r="F5" s="450" t="str">
        <x:v>Source</x:v>
      </x:c>
      <x:c r="G5" s="450" t="str">
        <x:v>Independent check</x:v>
      </x:c>
      <x:c r="H5" s="450" t="str">
        <x:v>Status</x:v>
      </x:c>
    </x:row>
    <x:row r="6">
      <x:c r="B6" s="152" t="str">
        <x:v>1</x:v>
      </x:c>
      <x:c r="C6" s="152" t="str">
        <x:v>Anchor-line mark</x:v>
      </x:c>
      <x:c r="D6" s="415" t="str">
        <x:f>IF('30_SILL_ANCHOR'!C8="","",'30_SILL_ANCHOR'!C8)</x:f>
      </x:c>
      <x:c r="E6" s="152" t="str"/>
      <x:c r="F6" s="152" t="str">
        <x:v>Project inputs</x:v>
      </x:c>
      <x:c r="G6" s="152" t="str"/>
      <x:c r="H6" s="152" t="str">
        <x:f>IF(D6="","PENDING","OK")</x:f>
        <x:v>PENDING</x:v>
      </x:c>
    </x:row>
    <x:row r="7">
      <x:c r="B7" s="152" t="str">
        <x:v>2</x:v>
      </x:c>
      <x:c r="C7" s="152" t="str">
        <x:v>Shear demand</x:v>
      </x:c>
      <x:c r="D7" s="415" t="str">
        <x:f>IF('30_SILL_ANCHOR'!C11="","",'30_SILL_ANCHOR'!C11)</x:f>
      </x:c>
      <x:c r="E7" s="152" t="str">
        <x:v>lb</x:v>
      </x:c>
      <x:c r="F7" s="152" t="str">
        <x:v>Load path</x:v>
      </x:c>
      <x:c r="G7" s="152" t="str"/>
      <x:c r="H7" s="152" t="str">
        <x:f>IF(D7="","PENDING","OK")</x:f>
        <x:v>PENDING</x:v>
      </x:c>
    </x:row>
    <x:row r="8">
      <x:c r="B8" s="152" t="str">
        <x:v>3</x:v>
      </x:c>
      <x:c r="C8" s="152" t="str">
        <x:v>Uplift demand</x:v>
      </x:c>
      <x:c r="D8" s="415" t="str">
        <x:f>IF('30_SILL_ANCHOR'!C12="","",'30_SILL_ANCHOR'!C12)</x:f>
      </x:c>
      <x:c r="E8" s="152" t="str">
        <x:v>lb</x:v>
      </x:c>
      <x:c r="F8" s="152" t="str">
        <x:v>Load path</x:v>
      </x:c>
      <x:c r="G8" s="152" t="str"/>
      <x:c r="H8" s="152" t="str">
        <x:f>IF(D8="","PENDING","OK")</x:f>
        <x:v>PENDING</x:v>
      </x:c>
    </x:row>
    <x:row r="9">
      <x:c r="B9" s="152" t="str">
        <x:v>4</x:v>
      </x:c>
      <x:c r="C9" s="152" t="str">
        <x:v>Total allowable shear</x:v>
      </x:c>
      <x:c r="D9" s="415" t="str">
        <x:f>IF('30_SILL_ANCHOR'!C29="","",'30_SILL_ANCHOR'!C29)</x:f>
      </x:c>
      <x:c r="E9" s="152" t="str">
        <x:v>lb</x:v>
      </x:c>
      <x:c r="F9" s="152" t="str">
        <x:v>Approved anchor source</x:v>
      </x:c>
      <x:c r="G9" s="152" t="str">
        <x:v>single × n × Cother</x:v>
      </x:c>
      <x:c r="H9" s="152" t="str">
        <x:f>IF(D9="","PENDING","OK")</x:f>
        <x:v>PENDING</x:v>
      </x:c>
    </x:row>
    <x:row r="10">
      <x:c r="B10" s="152" t="str">
        <x:v>5</x:v>
      </x:c>
      <x:c r="C10" s="152" t="str">
        <x:v>Total allowable tension</x:v>
      </x:c>
      <x:c r="D10" s="415" t="str">
        <x:f>IF('30_SILL_ANCHOR'!C30="","",'30_SILL_ANCHOR'!C30)</x:f>
      </x:c>
      <x:c r="E10" s="152" t="str">
        <x:v>lb</x:v>
      </x:c>
      <x:c r="F10" s="152" t="str">
        <x:v>Approved anchor source</x:v>
      </x:c>
      <x:c r="G10" s="152" t="str">
        <x:v>single × n × Cother</x:v>
      </x:c>
      <x:c r="H10" s="152" t="str">
        <x:f>IF(D10="","PENDING","OK")</x:f>
        <x:v>PENDING</x:v>
      </x:c>
    </x:row>
    <x:row r="11">
      <x:c r="B11" s="152" t="str">
        <x:v>6</x:v>
      </x:c>
      <x:c r="C11" s="152" t="str">
        <x:v>Shear D/C</x:v>
      </x:c>
      <x:c r="D11" s="415" t="str">
        <x:f>IF('30_SILL_ANCHOR'!C31="","",'30_SILL_ANCHOR'!C31)</x:f>
      </x:c>
      <x:c r="E11" s="152" t="str"/>
      <x:c r="F11" s="152" t="str">
        <x:v>Demand/capacity</x:v>
      </x:c>
      <x:c r="G11" s="152" t="str"/>
      <x:c r="H11" s="152" t="str">
        <x:f>IF(D11="","PENDING","OK")</x:f>
        <x:v>PENDING</x:v>
      </x:c>
    </x:row>
    <x:row r="12">
      <x:c r="B12" s="152" t="str">
        <x:v>7</x:v>
      </x:c>
      <x:c r="C12" s="152" t="str">
        <x:v>Tension D/C</x:v>
      </x:c>
      <x:c r="D12" s="415" t="str">
        <x:f>IF('30_SILL_ANCHOR'!C32="","",'30_SILL_ANCHOR'!C32)</x:f>
      </x:c>
      <x:c r="E12" s="152" t="str"/>
      <x:c r="F12" s="152" t="str">
        <x:v>Demand/capacity</x:v>
      </x:c>
      <x:c r="G12" s="152" t="str"/>
      <x:c r="H12" s="152" t="str">
        <x:f>IF(D12="","PENDING","OK")</x:f>
        <x:v>PENDING</x:v>
      </x:c>
    </x:row>
    <x:row r="13">
      <x:c r="B13" s="152" t="str">
        <x:v>8</x:v>
      </x:c>
      <x:c r="C13" s="152" t="str">
        <x:v>Required anchors — shear</x:v>
      </x:c>
      <x:c r="D13" s="415" t="str">
        <x:f>IF('30_SILL_ANCHOR'!C33="","",'30_SILL_ANCHOR'!C33)</x:f>
      </x:c>
      <x:c r="E13" s="152" t="str">
        <x:v>count</x:v>
      </x:c>
      <x:c r="F13" s="152" t="str">
        <x:v>Capacity screen</x:v>
      </x:c>
      <x:c r="G13" s="152" t="str">
        <x:v>CEILING(V / per-anchor allowable)</x:v>
      </x:c>
      <x:c r="H13" s="152" t="str">
        <x:f>IF(D13="","PENDING","OK")</x:f>
        <x:v>PENDING</x:v>
      </x:c>
    </x:row>
    <x:row r="14">
      <x:c r="B14" s="152" t="str">
        <x:v>9</x:v>
      </x:c>
      <x:c r="C14" s="152" t="str">
        <x:v>Required anchors — tension</x:v>
      </x:c>
      <x:c r="D14" s="415" t="str">
        <x:f>IF('30_SILL_ANCHOR'!C34="","",'30_SILL_ANCHOR'!C34)</x:f>
      </x:c>
      <x:c r="E14" s="152" t="str">
        <x:v>count</x:v>
      </x:c>
      <x:c r="F14" s="152" t="str">
        <x:v>Capacity screen</x:v>
      </x:c>
      <x:c r="G14" s="152" t="str">
        <x:v>CEILING(T / per-anchor allowable)</x:v>
      </x:c>
      <x:c r="H14" s="152" t="str">
        <x:f>IF(D14="","PENDING","OK")</x:f>
        <x:v>PENDING</x:v>
      </x:c>
    </x:row>
    <x:row r="15">
      <x:c r="B15" s="152" t="str">
        <x:v>10</x:v>
      </x:c>
      <x:c r="C15" s="152" t="str">
        <x:v>Average provided spacing</x:v>
      </x:c>
      <x:c r="D15" s="415" t="str">
        <x:f>IF('30_SILL_ANCHOR'!C36="","",'30_SILL_ANCHOR'!C36)</x:f>
      </x:c>
      <x:c r="E15" s="152" t="str">
        <x:v>in</x:v>
      </x:c>
      <x:c r="F15" s="152" t="str">
        <x:v>Geometry screen</x:v>
      </x:c>
      <x:c r="G15" s="152" t="str">
        <x:v>L×12/(n−1)</x:v>
      </x:c>
      <x:c r="H15" s="152" t="str">
        <x:f>IF(D15="","PENDING","OK")</x:f>
        <x:v>PENDING</x:v>
      </x:c>
    </x:row>
    <x:row r="16">
      <x:c r="B16" s="152" t="str">
        <x:v>11</x:v>
      </x:c>
      <x:c r="C16" s="152" t="str">
        <x:v>Spacing utilization</x:v>
      </x:c>
      <x:c r="D16" s="415" t="str">
        <x:f>IF('30_SILL_ANCHOR'!C37="","",'30_SILL_ANCHOR'!C37)</x:f>
      </x:c>
      <x:c r="E16" s="152" t="str"/>
      <x:c r="F16" s="152" t="str">
        <x:v>Project/source criterion</x:v>
      </x:c>
      <x:c r="G16" s="152" t="str">
        <x:v>average / max</x:v>
      </x:c>
      <x:c r="H16" s="152" t="str">
        <x:f>IF(D16="","PENDING","OK")</x:f>
        <x:v>PENDING</x:v>
      </x:c>
    </x:row>
    <x:row r="17">
      <x:c r="B17" s="152" t="str">
        <x:v>12</x:v>
      </x:c>
      <x:c r="C17" s="152" t="str">
        <x:v>Governing strength D/C</x:v>
      </x:c>
      <x:c r="D17" s="415" t="str">
        <x:f>IF('30_SILL_ANCHOR'!C38="","",'30_SILL_ANCHOR'!C38)</x:f>
      </x:c>
      <x:c r="E17" s="152" t="str"/>
      <x:c r="F17" s="152" t="str">
        <x:v>30_SILL_ANCHOR</x:v>
      </x:c>
      <x:c r="G17" s="152" t="str">
        <x:v>max shear/tension</x:v>
      </x:c>
      <x:c r="H17" s="152" t="str">
        <x:f>IF(D17="","PENDING","OK")</x:f>
        <x:v>PENDING</x:v>
      </x:c>
    </x:row>
    <x:row r="18">
      <x:c r="B18" s="152" t="str">
        <x:v>13</x:v>
      </x:c>
      <x:c r="C18" s="152" t="str">
        <x:v>Module status</x:v>
      </x:c>
      <x:c r="D18" s="415" t="str">
        <x:f>IF('30_SILL_ANCHOR'!I13="","",'30_SILL_ANCHOR'!I13)</x:f>
        <x:v>PENDING</x:v>
      </x:c>
      <x:c r="E18" s="152" t="str"/>
      <x:c r="F18" s="152" t="str">
        <x:v>30_SILL_ANCHOR</x:v>
      </x:c>
      <x:c r="G18" s="152" t="str"/>
      <x:c r="H18" s="152" t="str">
        <x:f>IF(D18="","PENDING","OK")</x:f>
        <x:v>OK</x:v>
      </x:c>
    </x:row>
    <x:row r="19">
      <x:c r="B19" s="140"/>
      <x:c r="C19" s="140"/>
      <x:c r="D19" s="239"/>
      <x:c r="E19" s="140"/>
      <x:c r="F19" s="140"/>
      <x:c r="G19" s="140"/>
      <x:c r="H19" s="140"/>
    </x:row>
    <x:row r="20">
      <x:c r="B20" s="140"/>
      <x:c r="C20" s="140"/>
      <x:c r="D20" s="239"/>
      <x:c r="E20" s="140"/>
      <x:c r="F20" s="140"/>
      <x:c r="G20" s="140"/>
      <x:c r="H20" s="140"/>
    </x:row>
    <x:row r="21">
      <x:c r="B21" s="453" t="str">
        <x:v>Publication note: this page is a distribution/capacity screen. The source-controlled single-anchor capacities must already include the governing concrete/anchor design basis. Concrete breakout, pullout, pryout, spacing/edge effects, seismic qualification, inspection, and sill-plate detailing remain mandatory review items.</x:v>
      </x:c>
      <x:c r="C21" s="453"/>
      <x:c r="D21" s="456"/>
      <x:c r="E21" s="453"/>
      <x:c r="F21" s="453"/>
      <x:c r="G21" s="453"/>
      <x:c r="H21" s="453"/>
    </x:row>
    <x:row r="22">
      <x:c r="B22" s="453"/>
      <x:c r="C22" s="453"/>
      <x:c r="D22" s="456"/>
      <x:c r="E22" s="453"/>
      <x:c r="F22" s="453"/>
      <x:c r="G22" s="453"/>
      <x:c r="H22" s="453"/>
    </x:row>
    <x:row r="23">
      <x:c r="B23" s="453"/>
      <x:c r="C23" s="453"/>
      <x:c r="D23" s="456"/>
      <x:c r="E23" s="453"/>
      <x:c r="F23" s="453"/>
      <x:c r="G23" s="453"/>
      <x:c r="H23" s="453"/>
    </x:row>
    <x:row r="24">
      <x:c r="B24" s="453"/>
      <x:c r="C24" s="453"/>
      <x:c r="D24" s="456"/>
      <x:c r="E24" s="453"/>
      <x:c r="F24" s="453"/>
      <x:c r="G24" s="453"/>
      <x:c r="H24" s="453"/>
    </x:row>
    <x:row r="25">
      <x:c r="B25" s="140"/>
      <x:c r="C25" s="140"/>
      <x:c r="D25" s="239"/>
      <x:c r="E25" s="140"/>
      <x:c r="F25" s="140"/>
      <x:c r="G25" s="140"/>
      <x:c r="H25" s="140"/>
    </x:row>
    <x:row r="26">
      <x:c r="B26" s="140"/>
      <x:c r="C26" s="140"/>
      <x:c r="D26" s="239"/>
      <x:c r="E26" s="140"/>
      <x:c r="F26" s="140"/>
      <x:c r="G26" s="140"/>
      <x:c r="H26" s="140"/>
    </x:row>
    <x:row r="27">
      <x:c r="B27" s="140"/>
      <x:c r="C27" s="140"/>
      <x:c r="D27" s="239"/>
      <x:c r="E27" s="140"/>
      <x:c r="F27" s="140"/>
      <x:c r="G27" s="140"/>
      <x:c r="H27" s="140"/>
    </x:row>
    <x:row r="28">
      <x:c r="B28" s="140"/>
      <x:c r="C28" s="140"/>
      <x:c r="D28" s="239"/>
      <x:c r="E28" s="140"/>
      <x:c r="F28" s="140"/>
      <x:c r="G28" s="140"/>
      <x:c r="H28" s="140"/>
    </x:row>
    <x:row r="29">
      <x:c r="B29" s="140"/>
      <x:c r="C29" s="140"/>
      <x:c r="D29" s="239"/>
      <x:c r="E29" s="140"/>
      <x:c r="F29" s="140"/>
      <x:c r="G29" s="140"/>
      <x:c r="H29" s="140"/>
    </x:row>
    <x:row r="30">
      <x:c r="B30" s="140"/>
      <x:c r="C30" s="140"/>
      <x:c r="D30" s="239"/>
      <x:c r="E30" s="140"/>
      <x:c r="F30" s="140"/>
      <x:c r="G30" s="140"/>
      <x:c r="H30" s="140"/>
    </x:row>
    <x:row r="31">
      <x:c r="B31" s="140"/>
      <x:c r="C31" s="140"/>
      <x:c r="D31" s="140"/>
      <x:c r="E31" s="140"/>
      <x:c r="F31" s="140"/>
      <x:c r="G31" s="140"/>
      <x:c r="H31" s="140"/>
    </x:row>
    <x:row r="32">
      <x:c r="B32" s="140"/>
      <x:c r="C32" s="140"/>
      <x:c r="D32" s="140"/>
      <x:c r="E32" s="140"/>
      <x:c r="F32" s="140"/>
      <x:c r="G32" s="140"/>
      <x:c r="H32" s="140"/>
    </x:row>
    <x:row r="33">
      <x:c r="B33" s="140"/>
      <x:c r="C33" s="140"/>
      <x:c r="D33" s="140"/>
      <x:c r="E33" s="140"/>
      <x:c r="F33" s="140"/>
      <x:c r="G33" s="140"/>
      <x:c r="H33" s="140"/>
    </x:row>
    <x:row r="34">
      <x:c r="B34" s="140"/>
      <x:c r="C34" s="140"/>
      <x:c r="D34" s="140"/>
      <x:c r="E34" s="140"/>
      <x:c r="F34" s="140"/>
      <x:c r="G34" s="140"/>
      <x:c r="H34" s="140"/>
    </x:row>
    <x:row r="35">
      <x:c r="B35" s="140"/>
      <x:c r="C35" s="140"/>
      <x:c r="D35" s="140"/>
      <x:c r="E35" s="140"/>
      <x:c r="F35" s="140"/>
      <x:c r="G35" s="140"/>
      <x:c r="H35" s="140"/>
    </x:row>
  </x:sheetData>
  <x:mergeCells>
    <x:mergeCell ref="B2:H2"/>
    <x:mergeCell ref="B21:H24"/>
  </x:mergeCells>
  <x:pageMargins left="0.7" right="0.7" top="0.75" bottom="0.75" header="0.3" footer="0.3"/>
</x:worksheet>
</file>

<file path=xl/worksheets/sheet39.xml><?xml version="1.0" encoding="utf-8"?>
<x:worksheet xmlns:x="http://schemas.openxmlformats.org/spreadsheetml/2006/main">
  <x:sheetFormatPr defaultRowHeight="15"/>
  <x:cols>
    <x:col min="2" max="2" width="8" hidden="0" customWidth="1"/>
    <x:col min="3" max="3" width="36" hidden="0" customWidth="1"/>
    <x:col min="4" max="4" width="18" hidden="0" customWidth="1"/>
    <x:col min="5" max="5" width="12" hidden="0" customWidth="1"/>
    <x:col min="6" max="6" width="30" hidden="0" customWidth="1"/>
    <x:col min="7" max="7" width="36" hidden="0" customWidth="1"/>
    <x:col min="8" max="8" width="12" hidden="0" customWidth="1"/>
  </x:cols>
  <x:sheetData>
    <x:row r="1">
      <x:c r="B1" s="140"/>
      <x:c r="C1" s="140"/>
      <x:c r="D1" s="140"/>
      <x:c r="E1" s="140"/>
      <x:c r="F1" s="140"/>
      <x:c r="G1" s="140"/>
      <x:c r="H1" s="140"/>
    </x:row>
    <x:row r="2" ht="28" customHeight="1">
      <x:c r="B2" s="441" t="str">
        <x:v>LONGHAND CALCULATION — COLLECTOR / CHORD / SPLICE</x:v>
      </x:c>
      <x:c r="C2" s="441"/>
      <x:c r="D2" s="441"/>
      <x:c r="E2" s="441"/>
      <x:c r="F2" s="441"/>
      <x:c r="G2" s="441"/>
      <x:c r="H2" s="441"/>
    </x:row>
    <x:row r="3">
      <x:c r="B3" s="140"/>
      <x:c r="C3" s="140"/>
      <x:c r="D3" s="140"/>
      <x:c r="E3" s="140"/>
      <x:c r="F3" s="140"/>
      <x:c r="G3" s="140"/>
      <x:c r="H3" s="140"/>
    </x:row>
    <x:row r="4">
      <x:c r="B4" s="437" t="str">
        <x:v>Calculation trace</x:v>
      </x:c>
      <x:c r="C4" s="437" t="str"/>
      <x:c r="D4" s="437" t="str"/>
      <x:c r="E4" s="437" t="str"/>
      <x:c r="F4" s="437" t="str"/>
      <x:c r="G4" s="437" t="str"/>
      <x:c r="H4" s="437" t="str"/>
    </x:row>
    <x:row r="5">
      <x:c r="B5" s="450" t="str">
        <x:v>Step</x:v>
      </x:c>
      <x:c r="C5" s="450" t="str">
        <x:v>Parameter / equation</x:v>
      </x:c>
      <x:c r="D5" s="450" t="str">
        <x:v>Value</x:v>
      </x:c>
      <x:c r="E5" s="450" t="str">
        <x:v>Unit</x:v>
      </x:c>
      <x:c r="F5" s="450" t="str">
        <x:v>Source</x:v>
      </x:c>
      <x:c r="G5" s="450" t="str">
        <x:v>Independent check</x:v>
      </x:c>
      <x:c r="H5" s="450" t="str">
        <x:v>Status</x:v>
      </x:c>
    </x:row>
    <x:row r="6">
      <x:c r="B6" s="152" t="str">
        <x:v>1</x:v>
      </x:c>
      <x:c r="C6" s="152" t="str">
        <x:v>Mark / use</x:v>
      </x:c>
      <x:c r="D6" s="415" t="str">
        <x:f>IF('31_COLLECTOR_CHORD'!C8="","",'31_COLLECTOR_CHORD'!C8)</x:f>
      </x:c>
      <x:c r="E6" s="152" t="str"/>
      <x:c r="F6" s="152" t="str">
        <x:v>Project inputs</x:v>
      </x:c>
      <x:c r="G6" s="152" t="str"/>
      <x:c r="H6" s="152" t="str">
        <x:f>IF(D6="","PENDING","OK")</x:f>
        <x:v>PENDING</x:v>
      </x:c>
    </x:row>
    <x:row r="7">
      <x:c r="B7" s="152" t="str">
        <x:v>2</x:v>
      </x:c>
      <x:c r="C7" s="152" t="str">
        <x:v>Axial demand P</x:v>
      </x:c>
      <x:c r="D7" s="415" t="str">
        <x:f>IF('31_COLLECTOR_CHORD'!C10="","",'31_COLLECTOR_CHORD'!C10)</x:f>
      </x:c>
      <x:c r="E7" s="152" t="str">
        <x:v>lb</x:v>
      </x:c>
      <x:c r="F7" s="152" t="str">
        <x:v>Lateral analysis</x:v>
      </x:c>
      <x:c r="G7" s="152" t="str"/>
      <x:c r="H7" s="152" t="str">
        <x:f>IF(D7="","PENDING","OK")</x:f>
        <x:v>PENDING</x:v>
      </x:c>
    </x:row>
    <x:row r="8">
      <x:c r="B8" s="152" t="str">
        <x:v>3</x:v>
      </x:c>
      <x:c r="C8" s="152" t="str">
        <x:v>Adjusted member capacity</x:v>
      </x:c>
      <x:c r="D8" s="415" t="str">
        <x:f>IF('31_COLLECTOR_CHORD'!C21="","",'31_COLLECTOR_CHORD'!C21)</x:f>
      </x:c>
      <x:c r="E8" s="152" t="str">
        <x:v>lb</x:v>
      </x:c>
      <x:c r="F8" s="152" t="str">
        <x:v>NDS member design</x:v>
      </x:c>
      <x:c r="G8" s="152" t="str">
        <x:v>allowable × Cother</x:v>
      </x:c>
      <x:c r="H8" s="152" t="str">
        <x:f>IF(D8="","PENDING","OK")</x:f>
        <x:v>PENDING</x:v>
      </x:c>
    </x:row>
    <x:row r="9">
      <x:c r="B9" s="152" t="str">
        <x:v>4</x:v>
      </x:c>
      <x:c r="C9" s="152" t="str">
        <x:v>Member D/C</x:v>
      </x:c>
      <x:c r="D9" s="415" t="str">
        <x:f>IF('31_COLLECTOR_CHORD'!C22="","",'31_COLLECTOR_CHORD'!C22)</x:f>
      </x:c>
      <x:c r="E9" s="152" t="str"/>
      <x:c r="F9" s="152" t="str">
        <x:v>Demand/capacity</x:v>
      </x:c>
      <x:c r="G9" s="152" t="str">
        <x:v>P / capacity</x:v>
      </x:c>
      <x:c r="H9" s="152" t="str">
        <x:f>IF(D9="","PENDING","OK")</x:f>
        <x:v>PENDING</x:v>
      </x:c>
    </x:row>
    <x:row r="10">
      <x:c r="B10" s="152" t="str">
        <x:v>5</x:v>
      </x:c>
      <x:c r="C10" s="152" t="str">
        <x:v>Splice / connection demand</x:v>
      </x:c>
      <x:c r="D10" s="415" t="str">
        <x:f>IF('31_COLLECTOR_CHORD'!C12="","",'31_COLLECTOR_CHORD'!C12)</x:f>
      </x:c>
      <x:c r="E10" s="152" t="str">
        <x:v>lb</x:v>
      </x:c>
      <x:c r="F10" s="152" t="str">
        <x:v>Load path</x:v>
      </x:c>
      <x:c r="G10" s="152" t="str"/>
      <x:c r="H10" s="152" t="str">
        <x:f>IF(D10="","PENDING","OK")</x:f>
        <x:v>PENDING</x:v>
      </x:c>
    </x:row>
    <x:row r="11">
      <x:c r="B11" s="152" t="str">
        <x:v>6</x:v>
      </x:c>
      <x:c r="C11" s="152" t="str">
        <x:v>Adjusted connection capacity</x:v>
      </x:c>
      <x:c r="D11" s="415" t="str">
        <x:f>IF('31_COLLECTOR_CHORD'!C23="","",'31_COLLECTOR_CHORD'!C23)</x:f>
      </x:c>
      <x:c r="E11" s="152" t="str">
        <x:v>lb</x:v>
      </x:c>
      <x:c r="F11" s="152" t="str">
        <x:v>28_CONNECTIONS / approved source</x:v>
      </x:c>
      <x:c r="G11" s="152" t="str">
        <x:v>available × Cother</x:v>
      </x:c>
      <x:c r="H11" s="152" t="str">
        <x:f>IF(D11="","PENDING","OK")</x:f>
        <x:v>PENDING</x:v>
      </x:c>
    </x:row>
    <x:row r="12">
      <x:c r="B12" s="152" t="str">
        <x:v>7</x:v>
      </x:c>
      <x:c r="C12" s="152" t="str">
        <x:v>Connection D/C</x:v>
      </x:c>
      <x:c r="D12" s="415" t="str">
        <x:f>IF('31_COLLECTOR_CHORD'!C24="","",'31_COLLECTOR_CHORD'!C24)</x:f>
      </x:c>
      <x:c r="E12" s="152" t="str"/>
      <x:c r="F12" s="152" t="str">
        <x:v>Demand/capacity</x:v>
      </x:c>
      <x:c r="G12" s="152" t="str"/>
      <x:c r="H12" s="152" t="str">
        <x:f>IF(D12="","PENDING","OK")</x:f>
        <x:v>PENDING</x:v>
      </x:c>
    </x:row>
    <x:row r="13">
      <x:c r="B13" s="152" t="str">
        <x:v>8</x:v>
      </x:c>
      <x:c r="C13" s="152" t="str">
        <x:v>Governing utilization</x:v>
      </x:c>
      <x:c r="D13" s="415" t="str">
        <x:f>IF('31_COLLECTOR_CHORD'!C25="","",'31_COLLECTOR_CHORD'!C25)</x:f>
      </x:c>
      <x:c r="E13" s="152" t="str"/>
      <x:c r="F13" s="152" t="str">
        <x:v>31_COLLECTOR_CHORD</x:v>
      </x:c>
      <x:c r="G13" s="152" t="str">
        <x:v>max member/connection</x:v>
      </x:c>
      <x:c r="H13" s="152" t="str">
        <x:f>IF(D13="","PENDING","OK")</x:f>
        <x:v>PENDING</x:v>
      </x:c>
    </x:row>
    <x:row r="14">
      <x:c r="B14" s="152" t="str">
        <x:v>9</x:v>
      </x:c>
      <x:c r="C14" s="152" t="str">
        <x:v>Module status</x:v>
      </x:c>
      <x:c r="D14" s="415" t="str">
        <x:f>IF('31_COLLECTOR_CHORD'!I12="","",'31_COLLECTOR_CHORD'!I12)</x:f>
        <x:v>PENDING</x:v>
      </x:c>
      <x:c r="E14" s="152" t="str"/>
      <x:c r="F14" s="152" t="str">
        <x:v>31_COLLECTOR_CHORD</x:v>
      </x:c>
      <x:c r="G14" s="152" t="str"/>
      <x:c r="H14" s="152" t="str">
        <x:f>IF(D14="","PENDING","OK")</x:f>
        <x:v>OK</x:v>
      </x:c>
    </x:row>
    <x:row r="15">
      <x:c r="B15" s="140"/>
      <x:c r="C15" s="140"/>
      <x:c r="D15" s="239"/>
      <x:c r="E15" s="140"/>
      <x:c r="F15" s="140"/>
      <x:c r="G15" s="140"/>
      <x:c r="H15" s="140"/>
    </x:row>
    <x:row r="16">
      <x:c r="B16" s="140"/>
      <x:c r="C16" s="140"/>
      <x:c r="D16" s="239"/>
      <x:c r="E16" s="140"/>
      <x:c r="F16" s="140"/>
      <x:c r="G16" s="140"/>
      <x:c r="H16" s="140"/>
    </x:row>
    <x:row r="17">
      <x:c r="B17" s="453" t="str">
        <x:v>Publication note: collector/chord forces must remain traceable to the lateral analysis. Member and connection capacities are source-controlled calculations. Eccentricity, discontinuities, blocking, net section, buckling, and transfer detailing remain explicit review gates.</x:v>
      </x:c>
      <x:c r="C17" s="453"/>
      <x:c r="D17" s="456"/>
      <x:c r="E17" s="453"/>
      <x:c r="F17" s="453"/>
      <x:c r="G17" s="453"/>
      <x:c r="H17" s="453"/>
    </x:row>
    <x:row r="18">
      <x:c r="B18" s="453"/>
      <x:c r="C18" s="453"/>
      <x:c r="D18" s="456"/>
      <x:c r="E18" s="453"/>
      <x:c r="F18" s="453"/>
      <x:c r="G18" s="453"/>
      <x:c r="H18" s="453"/>
    </x:row>
    <x:row r="19">
      <x:c r="B19" s="453"/>
      <x:c r="C19" s="453"/>
      <x:c r="D19" s="456"/>
      <x:c r="E19" s="453"/>
      <x:c r="F19" s="453"/>
      <x:c r="G19" s="453"/>
      <x:c r="H19" s="453"/>
    </x:row>
    <x:row r="20">
      <x:c r="B20" s="453"/>
      <x:c r="C20" s="453"/>
      <x:c r="D20" s="456"/>
      <x:c r="E20" s="453"/>
      <x:c r="F20" s="453"/>
      <x:c r="G20" s="453"/>
      <x:c r="H20" s="453"/>
    </x:row>
    <x:row r="21">
      <x:c r="B21" s="140"/>
      <x:c r="C21" s="140"/>
      <x:c r="D21" s="239"/>
      <x:c r="E21" s="140"/>
      <x:c r="F21" s="140"/>
      <x:c r="G21" s="140"/>
      <x:c r="H21" s="140"/>
    </x:row>
    <x:row r="22">
      <x:c r="B22" s="140"/>
      <x:c r="C22" s="140"/>
      <x:c r="D22" s="239"/>
      <x:c r="E22" s="140"/>
      <x:c r="F22" s="140"/>
      <x:c r="G22" s="140"/>
      <x:c r="H22" s="140"/>
    </x:row>
    <x:row r="23">
      <x:c r="B23" s="140"/>
      <x:c r="C23" s="140"/>
      <x:c r="D23" s="239"/>
      <x:c r="E23" s="140"/>
      <x:c r="F23" s="140"/>
      <x:c r="G23" s="140"/>
      <x:c r="H23" s="140"/>
    </x:row>
    <x:row r="24">
      <x:c r="B24" s="140"/>
      <x:c r="C24" s="140"/>
      <x:c r="D24" s="239"/>
      <x:c r="E24" s="140"/>
      <x:c r="F24" s="140"/>
      <x:c r="G24" s="140"/>
      <x:c r="H24" s="140"/>
    </x:row>
    <x:row r="25">
      <x:c r="B25" s="140"/>
      <x:c r="C25" s="140"/>
      <x:c r="D25" s="239"/>
      <x:c r="E25" s="140"/>
      <x:c r="F25" s="140"/>
      <x:c r="G25" s="140"/>
      <x:c r="H25" s="140"/>
    </x:row>
    <x:row r="26">
      <x:c r="B26" s="140"/>
      <x:c r="C26" s="140"/>
      <x:c r="D26" s="239"/>
      <x:c r="E26" s="140"/>
      <x:c r="F26" s="140"/>
      <x:c r="G26" s="140"/>
      <x:c r="H26" s="140"/>
    </x:row>
    <x:row r="27">
      <x:c r="B27" s="140"/>
      <x:c r="C27" s="140"/>
      <x:c r="D27" s="239"/>
      <x:c r="E27" s="140"/>
      <x:c r="F27" s="140"/>
      <x:c r="G27" s="140"/>
      <x:c r="H27" s="140"/>
    </x:row>
    <x:row r="28">
      <x:c r="B28" s="140"/>
      <x:c r="C28" s="140"/>
      <x:c r="D28" s="239"/>
      <x:c r="E28" s="140"/>
      <x:c r="F28" s="140"/>
      <x:c r="G28" s="140"/>
      <x:c r="H28" s="140"/>
    </x:row>
    <x:row r="29">
      <x:c r="B29" s="140"/>
      <x:c r="C29" s="140"/>
      <x:c r="D29" s="239"/>
      <x:c r="E29" s="140"/>
      <x:c r="F29" s="140"/>
      <x:c r="G29" s="140"/>
      <x:c r="H29" s="140"/>
    </x:row>
    <x:row r="30">
      <x:c r="B30" s="140"/>
      <x:c r="C30" s="140"/>
      <x:c r="D30" s="239"/>
      <x:c r="E30" s="140"/>
      <x:c r="F30" s="140"/>
      <x:c r="G30" s="140"/>
      <x:c r="H30" s="140"/>
    </x:row>
    <x:row r="31">
      <x:c r="B31" s="140"/>
      <x:c r="C31" s="140"/>
      <x:c r="D31" s="140"/>
      <x:c r="E31" s="140"/>
      <x:c r="F31" s="140"/>
      <x:c r="G31" s="140"/>
      <x:c r="H31" s="140"/>
    </x:row>
    <x:row r="32">
      <x:c r="B32" s="140"/>
      <x:c r="C32" s="140"/>
      <x:c r="D32" s="140"/>
      <x:c r="E32" s="140"/>
      <x:c r="F32" s="140"/>
      <x:c r="G32" s="140"/>
      <x:c r="H32" s="140"/>
    </x:row>
    <x:row r="33">
      <x:c r="B33" s="140"/>
      <x:c r="C33" s="140"/>
      <x:c r="D33" s="140"/>
      <x:c r="E33" s="140"/>
      <x:c r="F33" s="140"/>
      <x:c r="G33" s="140"/>
      <x:c r="H33" s="140"/>
    </x:row>
    <x:row r="34">
      <x:c r="B34" s="140"/>
      <x:c r="C34" s="140"/>
      <x:c r="D34" s="140"/>
      <x:c r="E34" s="140"/>
      <x:c r="F34" s="140"/>
      <x:c r="G34" s="140"/>
      <x:c r="H34" s="140"/>
    </x:row>
    <x:row r="35">
      <x:c r="B35" s="140"/>
      <x:c r="C35" s="140"/>
      <x:c r="D35" s="140"/>
      <x:c r="E35" s="140"/>
      <x:c r="F35" s="140"/>
      <x:c r="G35" s="140"/>
      <x:c r="H35" s="140"/>
    </x:row>
  </x:sheetData>
  <x:mergeCells>
    <x:mergeCell ref="B2:H2"/>
    <x:mergeCell ref="B17:H20"/>
  </x:mergeCells>
  <x:pageMargins left="0.7" right="0.7" top="0.75" bottom="0.75" header="0.3" footer="0.3"/>
</x:worksheet>
</file>

<file path=xl/worksheets/sheet40.xml><?xml version="1.0" encoding="utf-8"?>
<x:worksheet xmlns:x="http://schemas.openxmlformats.org/spreadsheetml/2006/main">
  <x:sheetFormatPr defaultRowHeight="15"/>
  <x:cols>
    <x:col min="2" max="2" width="14" hidden="0" customWidth="1"/>
    <x:col min="3" max="3" width="18" hidden="0" customWidth="1"/>
    <x:col min="4" max="4" width="28" hidden="0" customWidth="1"/>
    <x:col min="5" max="5" width="38" hidden="0" customWidth="1"/>
    <x:col min="6" max="6" width="10" hidden="0" customWidth="1"/>
    <x:col min="7" max="7" width="26" hidden="0" customWidth="1"/>
    <x:col min="8" max="8" width="14" hidden="0" customWidth="1"/>
    <x:col min="9" max="9" width="16" hidden="0" customWidth="1"/>
    <x:col min="10" max="10" width="14" hidden="0" customWidth="1"/>
    <x:col min="11" max="11" width="18" hidden="0" customWidth="1"/>
    <x:col min="12" max="12" width="36" hidden="0" customWidth="1"/>
  </x:cols>
  <x:sheetData>
    <x:row r="2" ht="28" customHeight="1">
      <x:c r="B2" s="514" t="str">
        <x:v>CAD / MODEL DETECTION → HUMAN CONFIRMATION QUEUE</x:v>
      </x:c>
      <x:c r="C2" s="514"/>
      <x:c r="D2" s="514"/>
      <x:c r="E2" s="514"/>
      <x:c r="F2" s="514"/>
      <x:c r="G2" s="514"/>
      <x:c r="H2" s="514"/>
      <x:c r="I2" s="514"/>
      <x:c r="J2" s="514"/>
      <x:c r="K2" s="514"/>
    </x:row>
    <x:row r="4">
      <x:c r="B4" s="517" t="str">
        <x:v>Future app behavior: upload DWG/DXF/model, detect geometry and semantic candidates, then ask the drafter/engineer to confirm or edit them. Only confirmed values become calculation inputs. Keep the source drawing/object ID so every value can be traced back to geometry.</x:v>
      </x:c>
      <x:c r="C4" s="517"/>
      <x:c r="D4" s="517"/>
      <x:c r="E4" s="517"/>
      <x:c r="F4" s="517"/>
      <x:c r="G4" s="517"/>
      <x:c r="H4" s="517"/>
      <x:c r="I4" s="517"/>
      <x:c r="J4" s="517"/>
      <x:c r="K4" s="517"/>
    </x:row>
    <x:row r="6">
      <x:c r="B6" s="480" t="str">
        <x:v>Candidate ID</x:v>
      </x:c>
      <x:c r="C6" s="480" t="str">
        <x:v>Human Object / Field</x:v>
      </x:c>
      <x:c r="D6" s="480" t="str">
        <x:v>Semantic Tag</x:v>
      </x:c>
      <x:c r="E6" s="480" t="str">
        <x:v>Detected Value</x:v>
      </x:c>
      <x:c r="F6" s="480" t="str">
        <x:v>Unit</x:v>
      </x:c>
      <x:c r="G6" s="480" t="str">
        <x:v>Source Drawing / Entity</x:v>
      </x:c>
      <x:c r="H6" s="480" t="str">
        <x:v>Confidence</x:v>
      </x:c>
      <x:c r="I6" s="480" t="str">
        <x:v>Action</x:v>
      </x:c>
      <x:c r="J6" s="480" t="str">
        <x:v>Edit Value</x:v>
      </x:c>
      <x:c r="K6" s="480" t="str">
        <x:v>Confirmed Value</x:v>
      </x:c>
      <x:c r="L6" s="480" t="str">
        <x:v>Backend Target</x:v>
      </x:c>
    </x:row>
    <x:row r="7">
      <x:c r="B7" s="408" t="str">
        <x:v>CAD-001</x:v>
      </x:c>
      <x:c r="C7" s="408" t="str">
        <x:v>Building Length</x:v>
      </x:c>
      <x:c r="D7" s="528" t="str">
        <x:v>BUILDING.LENGTH</x:v>
      </x:c>
      <x:c r="E7" s="528"/>
      <x:c r="F7" s="408" t="str">
        <x:v>ft</x:v>
      </x:c>
      <x:c r="G7" s="408"/>
      <x:c r="H7" s="529"/>
      <x:c r="I7" s="529" t="str">
        <x:v>PENDING</x:v>
      </x:c>
      <x:c r="J7" s="529"/>
      <x:c r="K7" s="530" t="str">
        <x:f>IF(I7="CONFIRM",E7,IF(I7="EDIT",J7,""))</x:f>
      </x:c>
      <x:c r="L7" s="408" t="str">
        <x:v>01_INPUTS!C26</x:v>
      </x:c>
    </x:row>
    <x:row r="8">
      <x:c r="B8" s="408" t="str">
        <x:v>CAD-002</x:v>
      </x:c>
      <x:c r="C8" s="408" t="str">
        <x:v>Building Width</x:v>
      </x:c>
      <x:c r="D8" s="528" t="str">
        <x:v>BUILDING.WIDTH</x:v>
      </x:c>
      <x:c r="E8" s="528"/>
      <x:c r="F8" s="408" t="str">
        <x:v>ft</x:v>
      </x:c>
      <x:c r="G8" s="408"/>
      <x:c r="H8" s="529"/>
      <x:c r="I8" s="529" t="str">
        <x:v>PENDING</x:v>
      </x:c>
      <x:c r="J8" s="529"/>
      <x:c r="K8" s="530" t="str">
        <x:f>IF(I8="CONFIRM",E8,IF(I8="EDIT",J8,""))</x:f>
      </x:c>
      <x:c r="L8" s="408" t="str">
        <x:v>01_INPUTS!C27</x:v>
      </x:c>
    </x:row>
    <x:row r="9">
      <x:c r="B9" s="408" t="str">
        <x:v>CAD-003</x:v>
      </x:c>
      <x:c r="C9" s="408" t="str">
        <x:v>Mean Roof Height</x:v>
      </x:c>
      <x:c r="D9" s="528" t="str">
        <x:v>BUILDING.ROOF.MEAN_HEIGHT</x:v>
      </x:c>
      <x:c r="E9" s="528"/>
      <x:c r="F9" s="408" t="str">
        <x:v>ft</x:v>
      </x:c>
      <x:c r="G9" s="408"/>
      <x:c r="H9" s="529"/>
      <x:c r="I9" s="529" t="str">
        <x:v>PENDING</x:v>
      </x:c>
      <x:c r="J9" s="529"/>
      <x:c r="K9" s="530" t="str">
        <x:f>IF(I9="CONFIRM",E9,IF(I9="EDIT",J9,""))</x:f>
      </x:c>
      <x:c r="L9" s="408" t="str">
        <x:v>01_INPUTS!C28</x:v>
      </x:c>
    </x:row>
    <x:row r="10">
      <x:c r="B10" s="408" t="str">
        <x:v>CAD-004</x:v>
      </x:c>
      <x:c r="C10" s="408" t="str">
        <x:v>Typical Floor Height</x:v>
      </x:c>
      <x:c r="D10" s="528" t="str">
        <x:v>LEVEL.TYPICAL.HEIGHT</x:v>
      </x:c>
      <x:c r="E10" s="528"/>
      <x:c r="F10" s="408" t="str">
        <x:v>ft</x:v>
      </x:c>
      <x:c r="G10" s="408"/>
      <x:c r="H10" s="529"/>
      <x:c r="I10" s="529" t="str">
        <x:v>PENDING</x:v>
      </x:c>
      <x:c r="J10" s="529"/>
      <x:c r="K10" s="530" t="str">
        <x:f>IF(I10="CONFIRM",E10,IF(I10="EDIT",J10,""))</x:f>
      </x:c>
      <x:c r="L10" s="408" t="str">
        <x:v>01_INPUTS!C29</x:v>
      </x:c>
    </x:row>
    <x:row r="11">
      <x:c r="B11" s="408" t="str">
        <x:v>CAD-005</x:v>
      </x:c>
      <x:c r="C11" s="408" t="str">
        <x:v>Selected Beam Span</x:v>
      </x:c>
      <x:c r="D11" s="528" t="str">
        <x:v>MEMBER.BEAM.SELECTED.SPAN</x:v>
      </x:c>
      <x:c r="E11" s="528"/>
      <x:c r="F11" s="408" t="str">
        <x:v>ft</x:v>
      </x:c>
      <x:c r="G11" s="408"/>
      <x:c r="H11" s="529"/>
      <x:c r="I11" s="529" t="str">
        <x:v>PENDING</x:v>
      </x:c>
      <x:c r="J11" s="529"/>
      <x:c r="K11" s="530" t="str">
        <x:f>IF(I11="CONFIRM",E11,IF(I11="EDIT",J11,""))</x:f>
      </x:c>
      <x:c r="L11" s="408" t="str">
        <x:v>01_INPUTS!C30</x:v>
      </x:c>
    </x:row>
    <x:row r="12">
      <x:c r="B12" s="408" t="str">
        <x:v>CAD-006</x:v>
      </x:c>
      <x:c r="C12" s="408" t="str">
        <x:v>Selected Beam Tributary Width</x:v>
      </x:c>
      <x:c r="D12" s="528" t="str">
        <x:v>MEMBER.BEAM.SELECTED.TRIB_WIDTH</x:v>
      </x:c>
      <x:c r="E12" s="528"/>
      <x:c r="F12" s="408" t="str">
        <x:v>ft</x:v>
      </x:c>
      <x:c r="G12" s="408"/>
      <x:c r="H12" s="529"/>
      <x:c r="I12" s="529" t="str">
        <x:v>PENDING</x:v>
      </x:c>
      <x:c r="J12" s="529"/>
      <x:c r="K12" s="530" t="str">
        <x:f>IF(I12="CONFIRM",E12,IF(I12="EDIT",J12,""))</x:f>
      </x:c>
      <x:c r="L12" s="408" t="str">
        <x:v>01_INPUTS!C31</x:v>
      </x:c>
    </x:row>
    <x:row r="13">
      <x:c r="B13" s="408" t="str">
        <x:v>CAD-007</x:v>
      </x:c>
      <x:c r="C13" s="408" t="str">
        <x:v>Selected Beam Actual Width</x:v>
      </x:c>
      <x:c r="D13" s="528" t="str">
        <x:v>MEMBER.BEAM.SELECTED.WIDTH</x:v>
      </x:c>
      <x:c r="E13" s="528"/>
      <x:c r="F13" s="408" t="str">
        <x:v>in</x:v>
      </x:c>
      <x:c r="G13" s="408"/>
      <x:c r="H13" s="529"/>
      <x:c r="I13" s="529" t="str">
        <x:v>PENDING</x:v>
      </x:c>
      <x:c r="J13" s="529"/>
      <x:c r="K13" s="530" t="str">
        <x:f>IF(I13="CONFIRM",E13,IF(I13="EDIT",J13,""))</x:f>
      </x:c>
      <x:c r="L13" s="408" t="str">
        <x:v>01_INPUTS!C32</x:v>
      </x:c>
    </x:row>
    <x:row r="14">
      <x:c r="B14" s="408" t="str">
        <x:v>CAD-008</x:v>
      </x:c>
      <x:c r="C14" s="408" t="str">
        <x:v>Selected Beam Actual Depth</x:v>
      </x:c>
      <x:c r="D14" s="528" t="str">
        <x:v>MEMBER.BEAM.SELECTED.DEPTH</x:v>
      </x:c>
      <x:c r="E14" s="528"/>
      <x:c r="F14" s="408" t="str">
        <x:v>in</x:v>
      </x:c>
      <x:c r="G14" s="408"/>
      <x:c r="H14" s="529"/>
      <x:c r="I14" s="529" t="str">
        <x:v>PENDING</x:v>
      </x:c>
      <x:c r="J14" s="529"/>
      <x:c r="K14" s="530" t="str">
        <x:f>IF(I14="CONFIRM",E14,IF(I14="EDIT",J14,""))</x:f>
      </x:c>
      <x:c r="L14" s="408" t="str">
        <x:v>01_INPUTS!C33</x:v>
      </x:c>
    </x:row>
    <x:row r="17">
      <x:c r="B17" s="533" t="str">
        <x:v>OBJECT-LEVEL CONFIRMATION — APP CONTRACT</x:v>
      </x:c>
      <x:c r="C17" s="533"/>
      <x:c r="D17" s="533"/>
      <x:c r="E17" s="533"/>
      <x:c r="F17" s="533"/>
      <x:c r="G17" s="533"/>
      <x:c r="H17" s="533"/>
      <x:c r="I17" s="533"/>
      <x:c r="J17" s="533"/>
      <x:c r="K17" s="533"/>
    </x:row>
    <x:row r="18">
      <x:c r="B18" s="480" t="str">
        <x:v>Object ID</x:v>
      </x:c>
      <x:c r="C18" s="480" t="str">
        <x:v>Type</x:v>
      </x:c>
      <x:c r="D18" s="480" t="str">
        <x:v>Human Name</x:v>
      </x:c>
      <x:c r="E18" s="480" t="str">
        <x:v>Semantic Tag</x:v>
      </x:c>
      <x:c r="F18" s="480" t="str">
        <x:v>Host / Parent</x:v>
      </x:c>
      <x:c r="G18" s="480" t="str">
        <x:v>Detected Geometry</x:v>
      </x:c>
      <x:c r="H18" s="480" t="str">
        <x:v>Anchor Rule</x:v>
      </x:c>
      <x:c r="I18" s="480" t="str">
        <x:v>Source Entity</x:v>
      </x:c>
      <x:c r="J18" s="480" t="str">
        <x:v>Action</x:v>
      </x:c>
      <x:c r="K18" s="480" t="str">
        <x:v>Approval</x:v>
      </x:c>
      <x:c r="L18" s="480" t="str">
        <x:v>Notes</x:v>
      </x:c>
    </x:row>
    <x:row r="19">
      <x:c r="B19" s="408"/>
      <x:c r="C19" s="408" t="str">
        <x:v>ROOM</x:v>
      </x:c>
      <x:c r="D19" s="408"/>
      <x:c r="E19" s="408"/>
      <x:c r="F19" s="408"/>
      <x:c r="G19" s="408"/>
      <x:c r="H19" s="408"/>
      <x:c r="I19" s="408"/>
      <x:c r="J19" s="408" t="str">
        <x:v>PENDING</x:v>
      </x:c>
      <x:c r="K19" s="408" t="str">
        <x:v>PENDING</x:v>
      </x:c>
      <x:c r="L19" s="408" t="str">
        <x:v>Room is an assembly/container, not just a block.</x:v>
      </x:c>
    </x:row>
    <x:row r="20">
      <x:c r="B20" s="408"/>
      <x:c r="C20" s="408" t="str">
        <x:v>WALL</x:v>
      </x:c>
      <x:c r="D20" s="408"/>
      <x:c r="E20" s="408"/>
      <x:c r="F20" s="408"/>
      <x:c r="G20" s="408"/>
      <x:c r="H20" s="408"/>
      <x:c r="I20" s="408"/>
      <x:c r="J20" s="408" t="str">
        <x:v>PENDING</x:v>
      </x:c>
      <x:c r="K20" s="408" t="str">
        <x:v>PENDING</x:v>
      </x:c>
      <x:c r="L20" s="408" t="str">
        <x:v>Example semantic form: ROOM.PRIMARY_BEDROOM.WALL.EAST</x:v>
      </x:c>
    </x:row>
    <x:row r="21">
      <x:c r="B21" s="408"/>
      <x:c r="C21" s="408" t="str">
        <x:v>WINDOW</x:v>
      </x:c>
      <x:c r="D21" s="408"/>
      <x:c r="E21" s="408"/>
      <x:c r="F21" s="408"/>
      <x:c r="G21" s="408"/>
      <x:c r="H21" s="408"/>
      <x:c r="I21" s="408"/>
      <x:c r="J21" s="408" t="str">
        <x:v>PENDING</x:v>
      </x:c>
      <x:c r="K21" s="408" t="str">
        <x:v>PENDING</x:v>
      </x:c>
      <x:c r="L21" s="408" t="str">
        <x:v>Hosted on a wall; position can be anchored to an end/center/related object.</x:v>
      </x:c>
    </x:row>
    <x:row r="22">
      <x:c r="B22" s="408"/>
      <x:c r="C22" s="408" t="str">
        <x:v>BEAM</x:v>
      </x:c>
      <x:c r="D22" s="408"/>
      <x:c r="E22" s="408"/>
      <x:c r="F22" s="408"/>
      <x:c r="G22" s="408"/>
      <x:c r="H22" s="408"/>
      <x:c r="I22" s="408"/>
      <x:c r="J22" s="408" t="str">
        <x:v>PENDING</x:v>
      </x:c>
      <x:c r="K22" s="408" t="str">
        <x:v>PENDING</x:v>
      </x:c>
      <x:c r="L22" s="408" t="str">
        <x:v>Supports reference semantic objects; engine resolves coordinates for span.</x:v>
      </x:c>
    </x:row>
    <x:row r="23">
      <x:c r="B23" s="408"/>
      <x:c r="C23" s="408" t="str">
        <x:v>SHEAR_WALL</x:v>
      </x:c>
      <x:c r="D23" s="408"/>
      <x:c r="E23" s="408"/>
      <x:c r="F23" s="408"/>
      <x:c r="G23" s="408"/>
      <x:c r="H23" s="408"/>
      <x:c r="I23" s="408"/>
      <x:c r="J23" s="408" t="str">
        <x:v>PENDING</x:v>
      </x:c>
      <x:c r="K23" s="408" t="str">
        <x:v>PENDING</x:v>
      </x:c>
      <x:c r="L23" s="408" t="str">
        <x:v>Structural object hosted by architectural wall geometry.</x:v>
      </x:c>
    </x:row>
    <x:row r="24">
      <x:c r="B24" s="408"/>
      <x:c r="C24" s="408" t="str">
        <x:v>FOOTING</x:v>
      </x:c>
      <x:c r="D24" s="408"/>
      <x:c r="E24" s="408"/>
      <x:c r="F24" s="408"/>
      <x:c r="G24" s="408"/>
      <x:c r="H24" s="408"/>
      <x:c r="I24" s="408"/>
      <x:c r="J24" s="408" t="str">
        <x:v>PENDING</x:v>
      </x:c>
      <x:c r="K24" s="408" t="str">
        <x:v>PENDING</x:v>
      </x:c>
      <x:c r="L24" s="408" t="str">
        <x:v>Complete working assembly: geometry, loads, concrete, soil basis, anchors, detail.</x:v>
      </x:c>
    </x:row>
  </x:sheetData>
  <x:mergeCells>
    <x:mergeCell ref="B2:L2"/>
    <x:mergeCell ref="B4:L4"/>
    <x:mergeCell ref="B17:L17"/>
  </x:mergeCells>
  <x:dataValidations count="2">
    <x:dataValidation type="list" sqref="H7:H14">
      <x:formula1>"PENDING,CONFIRM,EDIT,IGNORE"</x:formula1>
    </x:dataValidation>
    <x:dataValidation type="list" sqref="I7:I14">
      <x:formula1>"PENDING,CONFIRM,EDIT,IGNORE"</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2" max="2" width="15" hidden="0" customWidth="1"/>
    <x:col min="3" max="3" width="17" hidden="0" customWidth="1"/>
    <x:col min="4" max="4" width="30" hidden="0" customWidth="1"/>
    <x:col min="5" max="5" width="42" hidden="0" customWidth="1"/>
    <x:col min="6" max="6" width="26" hidden="0" customWidth="1"/>
    <x:col min="7" max="7" width="26" hidden="0" customWidth="1"/>
    <x:col min="8" max="8" width="32" hidden="0" customWidth="1"/>
    <x:col min="9" max="9" width="38" hidden="0" customWidth="1"/>
    <x:col min="10" max="10" width="22" hidden="0" customWidth="1"/>
    <x:col min="11" max="11" width="11" hidden="0" customWidth="1"/>
    <x:col min="12" max="12" width="11" hidden="0" customWidth="1"/>
    <x:col min="13" max="13" width="11" hidden="0" customWidth="1"/>
    <x:col min="14" max="14" width="11" hidden="0" customWidth="1"/>
    <x:col min="15" max="15" width="15" hidden="0" customWidth="1"/>
    <x:col min="16" max="16" width="18" hidden="0" customWidth="1"/>
    <x:col min="17" max="17" width="20" hidden="0" customWidth="1"/>
    <x:col min="18" max="18" width="34" hidden="0" customWidth="1"/>
  </x:cols>
  <x:sheetData>
    <x:row r="2" ht="28" customHeight="1">
      <x:c r="B2" s="514" t="str">
        <x:v>SEMANTIC BUILDING OBJECT MODEL — HUMANS NAME OBJECTS; ENGINE RESOLVES GEOMETRY</x:v>
      </x:c>
      <x:c r="C2" s="514"/>
      <x:c r="D2" s="514"/>
      <x:c r="E2" s="514"/>
      <x:c r="F2" s="514"/>
      <x:c r="G2" s="514"/>
      <x:c r="H2" s="514"/>
      <x:c r="I2" s="514"/>
      <x:c r="J2" s="514"/>
      <x:c r="K2" s="514"/>
      <x:c r="L2" s="514"/>
      <x:c r="M2" s="514"/>
      <x:c r="N2" s="514"/>
      <x:c r="O2" s="514"/>
      <x:c r="P2" s="514"/>
      <x:c r="Q2" s="514"/>
      <x:c r="R2" s="514"/>
    </x:row>
    <x:row r="4">
      <x:c r="B4" s="517" t="str">
        <x:v>Each working item has a permanent ID, a human-readable semantic identity, geometry, functional relationships, verification state, and one or more CAD representations. Coordinates remain available for math and API operations, but people work with objects such as Primary Bedroom East Wall, Window 01, Beam B4, Shear Wall SW3, or Footing F3.</x:v>
      </x:c>
      <x:c r="C4" s="517"/>
      <x:c r="D4" s="517"/>
      <x:c r="E4" s="517"/>
      <x:c r="F4" s="517"/>
      <x:c r="G4" s="517"/>
      <x:c r="H4" s="517"/>
      <x:c r="I4" s="517"/>
      <x:c r="J4" s="517"/>
      <x:c r="K4" s="517"/>
      <x:c r="L4" s="517"/>
      <x:c r="M4" s="517"/>
      <x:c r="N4" s="517"/>
      <x:c r="O4" s="517"/>
      <x:c r="P4" s="517"/>
      <x:c r="Q4" s="517"/>
      <x:c r="R4" s="517"/>
    </x:row>
    <x:row r="6">
      <x:c r="B6" s="480" t="str">
        <x:v>Object ID</x:v>
      </x:c>
      <x:c r="C6" s="480" t="str">
        <x:v>Object Type</x:v>
      </x:c>
      <x:c r="D6" s="480" t="str">
        <x:v>Human Name</x:v>
      </x:c>
      <x:c r="E6" s="480" t="str">
        <x:v>Semantic Tag</x:v>
      </x:c>
      <x:c r="F6" s="480" t="str">
        <x:v>Parent / Assembly</x:v>
      </x:c>
      <x:c r="G6" s="480" t="str">
        <x:v>Host Object</x:v>
      </x:c>
      <x:c r="H6" s="480" t="str">
        <x:v>Function</x:v>
      </x:c>
      <x:c r="I6" s="480" t="str">
        <x:v>Anchor / Behavior Rule</x:v>
      </x:c>
      <x:c r="J6" s="480" t="str">
        <x:v>Geometry Source</x:v>
      </x:c>
      <x:c r="K6" s="480" t="str">
        <x:v>X1</x:v>
      </x:c>
      <x:c r="L6" s="480" t="str">
        <x:v>Y1</x:v>
      </x:c>
      <x:c r="M6" s="480" t="str">
        <x:v>X2</x:v>
      </x:c>
      <x:c r="N6" s="480" t="str">
        <x:v>Y2</x:v>
      </x:c>
      <x:c r="O6" s="480" t="str">
        <x:v>Derived Length</x:v>
      </x:c>
      <x:c r="P6" s="480" t="str">
        <x:v>Verification State</x:v>
      </x:c>
      <x:c r="Q6" s="480" t="str">
        <x:v>Approval State</x:v>
      </x:c>
      <x:c r="R6" s="480" t="str">
        <x:v>CAD Representations</x:v>
      </x:c>
    </x:row>
    <x:row r="7">
      <x:c r="B7" s="526"/>
      <x:c r="C7" s="526"/>
      <x:c r="D7" s="526"/>
      <x:c r="E7" s="526"/>
      <x:c r="F7" s="526"/>
      <x:c r="G7" s="526"/>
      <x:c r="H7" s="526"/>
      <x:c r="I7" s="526"/>
      <x:c r="J7" s="525"/>
      <x:c r="K7" s="525"/>
      <x:c r="L7" s="525"/>
      <x:c r="M7" s="525"/>
      <x:c r="N7" s="525"/>
      <x:c r="O7" s="525" t="str">
        <x:f>IF(COUNT(K7:N7)=4,SQRT((M7-K7)^2+(N7-L7)^2),"")</x:f>
      </x:c>
      <x:c r="P7" s="534"/>
      <x:c r="Q7" s="534"/>
      <x:c r="R7" s="525"/>
    </x:row>
    <x:row r="8">
      <x:c r="B8" s="526"/>
      <x:c r="C8" s="526"/>
      <x:c r="D8" s="526"/>
      <x:c r="E8" s="526"/>
      <x:c r="F8" s="526"/>
      <x:c r="G8" s="526"/>
      <x:c r="H8" s="526"/>
      <x:c r="I8" s="526"/>
      <x:c r="J8" s="525"/>
      <x:c r="K8" s="525"/>
      <x:c r="L8" s="525"/>
      <x:c r="M8" s="525"/>
      <x:c r="N8" s="525"/>
      <x:c r="O8" s="525" t="str">
        <x:f>IF(COUNT(K8:N8)=4,SQRT((M8-K8)^2+(N8-L8)^2),"")</x:f>
      </x:c>
      <x:c r="P8" s="534"/>
      <x:c r="Q8" s="534"/>
      <x:c r="R8" s="525"/>
    </x:row>
    <x:row r="9">
      <x:c r="B9" s="526"/>
      <x:c r="C9" s="526"/>
      <x:c r="D9" s="526"/>
      <x:c r="E9" s="526"/>
      <x:c r="F9" s="526"/>
      <x:c r="G9" s="526"/>
      <x:c r="H9" s="526"/>
      <x:c r="I9" s="526"/>
      <x:c r="J9" s="525"/>
      <x:c r="K9" s="525"/>
      <x:c r="L9" s="525"/>
      <x:c r="M9" s="525"/>
      <x:c r="N9" s="525"/>
      <x:c r="O9" s="525" t="str">
        <x:f>IF(COUNT(K9:N9)=4,SQRT((M9-K9)^2+(N9-L9)^2),"")</x:f>
      </x:c>
      <x:c r="P9" s="534"/>
      <x:c r="Q9" s="534"/>
      <x:c r="R9" s="525"/>
    </x:row>
    <x:row r="10">
      <x:c r="B10" s="526"/>
      <x:c r="C10" s="526"/>
      <x:c r="D10" s="526"/>
      <x:c r="E10" s="526"/>
      <x:c r="F10" s="526"/>
      <x:c r="G10" s="526"/>
      <x:c r="H10" s="526"/>
      <x:c r="I10" s="526"/>
      <x:c r="J10" s="525"/>
      <x:c r="K10" s="525"/>
      <x:c r="L10" s="525"/>
      <x:c r="M10" s="525"/>
      <x:c r="N10" s="525"/>
      <x:c r="O10" s="525" t="str">
        <x:f>IF(COUNT(K10:N10)=4,SQRT((M10-K10)^2+(N10-L10)^2),"")</x:f>
      </x:c>
      <x:c r="P10" s="534"/>
      <x:c r="Q10" s="534"/>
      <x:c r="R10" s="525"/>
    </x:row>
    <x:row r="11">
      <x:c r="B11" s="526"/>
      <x:c r="C11" s="526"/>
      <x:c r="D11" s="526"/>
      <x:c r="E11" s="526"/>
      <x:c r="F11" s="526"/>
      <x:c r="G11" s="526"/>
      <x:c r="H11" s="526"/>
      <x:c r="I11" s="526"/>
      <x:c r="J11" s="525"/>
      <x:c r="K11" s="525"/>
      <x:c r="L11" s="525"/>
      <x:c r="M11" s="525"/>
      <x:c r="N11" s="525"/>
      <x:c r="O11" s="525" t="str">
        <x:f>IF(COUNT(K11:N11)=4,SQRT((M11-K11)^2+(N11-L11)^2),"")</x:f>
      </x:c>
      <x:c r="P11" s="534"/>
      <x:c r="Q11" s="534"/>
      <x:c r="R11" s="525"/>
    </x:row>
    <x:row r="12">
      <x:c r="B12" s="526"/>
      <x:c r="C12" s="526"/>
      <x:c r="D12" s="526"/>
      <x:c r="E12" s="526"/>
      <x:c r="F12" s="526"/>
      <x:c r="G12" s="526"/>
      <x:c r="H12" s="526"/>
      <x:c r="I12" s="526"/>
      <x:c r="J12" s="525"/>
      <x:c r="K12" s="525"/>
      <x:c r="L12" s="525"/>
      <x:c r="M12" s="525"/>
      <x:c r="N12" s="525"/>
      <x:c r="O12" s="525" t="str">
        <x:f>IF(COUNT(K12:N12)=4,SQRT((M12-K12)^2+(N12-L12)^2),"")</x:f>
      </x:c>
      <x:c r="P12" s="534"/>
      <x:c r="Q12" s="534"/>
      <x:c r="R12" s="525"/>
    </x:row>
    <x:row r="13">
      <x:c r="B13" s="526"/>
      <x:c r="C13" s="526"/>
      <x:c r="D13" s="526"/>
      <x:c r="E13" s="526"/>
      <x:c r="F13" s="526"/>
      <x:c r="G13" s="526"/>
      <x:c r="H13" s="526"/>
      <x:c r="I13" s="526"/>
      <x:c r="J13" s="525"/>
      <x:c r="K13" s="525"/>
      <x:c r="L13" s="525"/>
      <x:c r="M13" s="525"/>
      <x:c r="N13" s="525"/>
      <x:c r="O13" s="525" t="str">
        <x:f>IF(COUNT(K13:N13)=4,SQRT((M13-K13)^2+(N13-L13)^2),"")</x:f>
      </x:c>
      <x:c r="P13" s="534"/>
      <x:c r="Q13" s="534"/>
      <x:c r="R13" s="525"/>
    </x:row>
    <x:row r="14">
      <x:c r="B14" s="526"/>
      <x:c r="C14" s="526"/>
      <x:c r="D14" s="526"/>
      <x:c r="E14" s="526"/>
      <x:c r="F14" s="526"/>
      <x:c r="G14" s="526"/>
      <x:c r="H14" s="526"/>
      <x:c r="I14" s="526"/>
      <x:c r="J14" s="525"/>
      <x:c r="K14" s="525"/>
      <x:c r="L14" s="525"/>
      <x:c r="M14" s="525"/>
      <x:c r="N14" s="525"/>
      <x:c r="O14" s="525" t="str">
        <x:f>IF(COUNT(K14:N14)=4,SQRT((M14-K14)^2+(N14-L14)^2),"")</x:f>
      </x:c>
      <x:c r="P14" s="534"/>
      <x:c r="Q14" s="534"/>
      <x:c r="R14" s="525"/>
    </x:row>
    <x:row r="15">
      <x:c r="B15" s="526"/>
      <x:c r="C15" s="526"/>
      <x:c r="D15" s="526"/>
      <x:c r="E15" s="526"/>
      <x:c r="F15" s="526"/>
      <x:c r="G15" s="526"/>
      <x:c r="H15" s="526"/>
      <x:c r="I15" s="526"/>
      <x:c r="J15" s="525"/>
      <x:c r="K15" s="525"/>
      <x:c r="L15" s="525"/>
      <x:c r="M15" s="525"/>
      <x:c r="N15" s="525"/>
      <x:c r="O15" s="525" t="str">
        <x:f>IF(COUNT(K15:N15)=4,SQRT((M15-K15)^2+(N15-L15)^2),"")</x:f>
      </x:c>
      <x:c r="P15" s="534"/>
      <x:c r="Q15" s="534"/>
      <x:c r="R15" s="525"/>
    </x:row>
    <x:row r="16">
      <x:c r="B16" s="526"/>
      <x:c r="C16" s="526"/>
      <x:c r="D16" s="526"/>
      <x:c r="E16" s="526"/>
      <x:c r="F16" s="526"/>
      <x:c r="G16" s="526"/>
      <x:c r="H16" s="526"/>
      <x:c r="I16" s="526"/>
      <x:c r="J16" s="525"/>
      <x:c r="K16" s="525"/>
      <x:c r="L16" s="525"/>
      <x:c r="M16" s="525"/>
      <x:c r="N16" s="525"/>
      <x:c r="O16" s="525" t="str">
        <x:f>IF(COUNT(K16:N16)=4,SQRT((M16-K16)^2+(N16-L16)^2),"")</x:f>
      </x:c>
      <x:c r="P16" s="534"/>
      <x:c r="Q16" s="534"/>
      <x:c r="R16" s="525"/>
    </x:row>
    <x:row r="17">
      <x:c r="B17" s="526"/>
      <x:c r="C17" s="526"/>
      <x:c r="D17" s="526"/>
      <x:c r="E17" s="526"/>
      <x:c r="F17" s="526"/>
      <x:c r="G17" s="526"/>
      <x:c r="H17" s="526"/>
      <x:c r="I17" s="526"/>
      <x:c r="J17" s="525"/>
      <x:c r="K17" s="525"/>
      <x:c r="L17" s="525"/>
      <x:c r="M17" s="525"/>
      <x:c r="N17" s="525"/>
      <x:c r="O17" s="525" t="str">
        <x:f>IF(COUNT(K17:N17)=4,SQRT((M17-K17)^2+(N17-L17)^2),"")</x:f>
      </x:c>
      <x:c r="P17" s="534"/>
      <x:c r="Q17" s="534"/>
      <x:c r="R17" s="525"/>
    </x:row>
    <x:row r="18">
      <x:c r="B18" s="526"/>
      <x:c r="C18" s="526"/>
      <x:c r="D18" s="526"/>
      <x:c r="E18" s="526"/>
      <x:c r="F18" s="526"/>
      <x:c r="G18" s="526"/>
      <x:c r="H18" s="526"/>
      <x:c r="I18" s="526"/>
      <x:c r="J18" s="525"/>
      <x:c r="K18" s="525"/>
      <x:c r="L18" s="525"/>
      <x:c r="M18" s="525"/>
      <x:c r="N18" s="525"/>
      <x:c r="O18" s="525" t="str">
        <x:f>IF(COUNT(K18:N18)=4,SQRT((M18-K18)^2+(N18-L18)^2),"")</x:f>
      </x:c>
      <x:c r="P18" s="534"/>
      <x:c r="Q18" s="534"/>
      <x:c r="R18" s="525"/>
    </x:row>
    <x:row r="19">
      <x:c r="B19" s="526"/>
      <x:c r="C19" s="526"/>
      <x:c r="D19" s="526"/>
      <x:c r="E19" s="526"/>
      <x:c r="F19" s="526"/>
      <x:c r="G19" s="526"/>
      <x:c r="H19" s="526"/>
      <x:c r="I19" s="526"/>
      <x:c r="J19" s="525"/>
      <x:c r="K19" s="525"/>
      <x:c r="L19" s="525"/>
      <x:c r="M19" s="525"/>
      <x:c r="N19" s="525"/>
      <x:c r="O19" s="525" t="str">
        <x:f>IF(COUNT(K19:N19)=4,SQRT((M19-K19)^2+(N19-L19)^2),"")</x:f>
      </x:c>
      <x:c r="P19" s="534"/>
      <x:c r="Q19" s="534"/>
      <x:c r="R19" s="525"/>
    </x:row>
    <x:row r="20">
      <x:c r="B20" s="526"/>
      <x:c r="C20" s="526"/>
      <x:c r="D20" s="526"/>
      <x:c r="E20" s="526"/>
      <x:c r="F20" s="526"/>
      <x:c r="G20" s="526"/>
      <x:c r="H20" s="526"/>
      <x:c r="I20" s="526"/>
      <x:c r="J20" s="525"/>
      <x:c r="K20" s="525"/>
      <x:c r="L20" s="525"/>
      <x:c r="M20" s="525"/>
      <x:c r="N20" s="525"/>
      <x:c r="O20" s="525" t="str">
        <x:f>IF(COUNT(K20:N20)=4,SQRT((M20-K20)^2+(N20-L20)^2),"")</x:f>
      </x:c>
      <x:c r="P20" s="534"/>
      <x:c r="Q20" s="534"/>
      <x:c r="R20" s="525"/>
    </x:row>
    <x:row r="21">
      <x:c r="B21" s="526"/>
      <x:c r="C21" s="526"/>
      <x:c r="D21" s="526"/>
      <x:c r="E21" s="526"/>
      <x:c r="F21" s="526"/>
      <x:c r="G21" s="526"/>
      <x:c r="H21" s="526"/>
      <x:c r="I21" s="526"/>
      <x:c r="J21" s="525"/>
      <x:c r="K21" s="525"/>
      <x:c r="L21" s="525"/>
      <x:c r="M21" s="525"/>
      <x:c r="N21" s="525"/>
      <x:c r="O21" s="525" t="str">
        <x:f>IF(COUNT(K21:N21)=4,SQRT((M21-K21)^2+(N21-L21)^2),"")</x:f>
      </x:c>
      <x:c r="P21" s="534"/>
      <x:c r="Q21" s="534"/>
      <x:c r="R21" s="525"/>
    </x:row>
    <x:row r="22">
      <x:c r="B22" s="526"/>
      <x:c r="C22" s="526"/>
      <x:c r="D22" s="526"/>
      <x:c r="E22" s="526"/>
      <x:c r="F22" s="526"/>
      <x:c r="G22" s="526"/>
      <x:c r="H22" s="526"/>
      <x:c r="I22" s="526"/>
      <x:c r="J22" s="525"/>
      <x:c r="K22" s="525"/>
      <x:c r="L22" s="525"/>
      <x:c r="M22" s="525"/>
      <x:c r="N22" s="525"/>
      <x:c r="O22" s="525" t="str">
        <x:f>IF(COUNT(K22:N22)=4,SQRT((M22-K22)^2+(N22-L22)^2),"")</x:f>
      </x:c>
      <x:c r="P22" s="534"/>
      <x:c r="Q22" s="534"/>
      <x:c r="R22" s="525"/>
    </x:row>
    <x:row r="23">
      <x:c r="B23" s="526"/>
      <x:c r="C23" s="526"/>
      <x:c r="D23" s="526"/>
      <x:c r="E23" s="526"/>
      <x:c r="F23" s="526"/>
      <x:c r="G23" s="526"/>
      <x:c r="H23" s="526"/>
      <x:c r="I23" s="526"/>
      <x:c r="J23" s="525"/>
      <x:c r="K23" s="525"/>
      <x:c r="L23" s="525"/>
      <x:c r="M23" s="525"/>
      <x:c r="N23" s="525"/>
      <x:c r="O23" s="525" t="str">
        <x:f>IF(COUNT(K23:N23)=4,SQRT((M23-K23)^2+(N23-L23)^2),"")</x:f>
      </x:c>
      <x:c r="P23" s="534"/>
      <x:c r="Q23" s="534"/>
      <x:c r="R23" s="525"/>
    </x:row>
    <x:row r="24">
      <x:c r="B24" s="526"/>
      <x:c r="C24" s="526"/>
      <x:c r="D24" s="526"/>
      <x:c r="E24" s="526"/>
      <x:c r="F24" s="526"/>
      <x:c r="G24" s="526"/>
      <x:c r="H24" s="526"/>
      <x:c r="I24" s="526"/>
      <x:c r="J24" s="525"/>
      <x:c r="K24" s="525"/>
      <x:c r="L24" s="525"/>
      <x:c r="M24" s="525"/>
      <x:c r="N24" s="525"/>
      <x:c r="O24" s="525" t="str">
        <x:f>IF(COUNT(K24:N24)=4,SQRT((M24-K24)^2+(N24-L24)^2),"")</x:f>
      </x:c>
      <x:c r="P24" s="534"/>
      <x:c r="Q24" s="534"/>
      <x:c r="R24" s="525"/>
    </x:row>
    <x:row r="25">
      <x:c r="B25" s="526"/>
      <x:c r="C25" s="526"/>
      <x:c r="D25" s="526"/>
      <x:c r="E25" s="526"/>
      <x:c r="F25" s="526"/>
      <x:c r="G25" s="526"/>
      <x:c r="H25" s="526"/>
      <x:c r="I25" s="526"/>
      <x:c r="J25" s="525"/>
      <x:c r="K25" s="525"/>
      <x:c r="L25" s="525"/>
      <x:c r="M25" s="525"/>
      <x:c r="N25" s="525"/>
      <x:c r="O25" s="525" t="str">
        <x:f>IF(COUNT(K25:N25)=4,SQRT((M25-K25)^2+(N25-L25)^2),"")</x:f>
      </x:c>
      <x:c r="P25" s="534"/>
      <x:c r="Q25" s="534"/>
      <x:c r="R25" s="525"/>
    </x:row>
    <x:row r="26">
      <x:c r="B26" s="526"/>
      <x:c r="C26" s="526"/>
      <x:c r="D26" s="526"/>
      <x:c r="E26" s="526"/>
      <x:c r="F26" s="526"/>
      <x:c r="G26" s="526"/>
      <x:c r="H26" s="526"/>
      <x:c r="I26" s="526"/>
      <x:c r="J26" s="525"/>
      <x:c r="K26" s="525"/>
      <x:c r="L26" s="525"/>
      <x:c r="M26" s="525"/>
      <x:c r="N26" s="525"/>
      <x:c r="O26" s="525" t="str">
        <x:f>IF(COUNT(K26:N26)=4,SQRT((M26-K26)^2+(N26-L26)^2),"")</x:f>
      </x:c>
      <x:c r="P26" s="534"/>
      <x:c r="Q26" s="534"/>
      <x:c r="R26" s="525"/>
    </x:row>
    <x:row r="29">
      <x:c r="B29" s="533" t="str">
        <x:v>NAMING / RELATIONSHIP EXAMPLES — NOT PROJECT DATA</x:v>
      </x:c>
      <x:c r="C29" s="533"/>
      <x:c r="D29" s="533"/>
      <x:c r="E29" s="533"/>
      <x:c r="F29" s="533"/>
      <x:c r="G29" s="533"/>
      <x:c r="H29" s="533"/>
      <x:c r="I29" s="533"/>
      <x:c r="J29" s="533"/>
      <x:c r="K29" s="533"/>
      <x:c r="L29" s="533"/>
      <x:c r="M29" s="533"/>
      <x:c r="N29" s="533"/>
      <x:c r="O29" s="533"/>
      <x:c r="P29" s="533"/>
      <x:c r="Q29" s="533"/>
      <x:c r="R29" s="533"/>
    </x:row>
    <x:row r="30">
      <x:c r="B30" s="408" t="str">
        <x:v>Example</x:v>
      </x:c>
      <x:c r="C30" s="408" t="str">
        <x:v>ROOM</x:v>
      </x:c>
      <x:c r="D30" s="408" t="str">
        <x:v>Primary Bedroom</x:v>
      </x:c>
      <x:c r="E30" s="408" t="str">
        <x:v>ROOM.PRIMARY_BEDROOM</x:v>
      </x:c>
      <x:c r="F30" s="408" t="str">
        <x:v>LEVEL.01</x:v>
      </x:c>
      <x:c r="G30" s="408"/>
      <x:c r="H30" s="408" t="str">
        <x:v>Spatial assembly / host container</x:v>
      </x:c>
      <x:c r="I30" s="408"/>
      <x:c r="J30" s="408"/>
      <x:c r="K30" s="408"/>
      <x:c r="L30" s="408"/>
      <x:c r="M30" s="408"/>
      <x:c r="N30" s="408"/>
      <x:c r="O30" s="408"/>
      <x:c r="P30" s="408" t="str">
        <x:v>N/A</x:v>
      </x:c>
      <x:c r="Q30" s="408" t="str">
        <x:v>N/A</x:v>
      </x:c>
      <x:c r="R30" s="408" t="str"/>
    </x:row>
    <x:row r="31">
      <x:c r="B31" s="408" t="str">
        <x:v>Example</x:v>
      </x:c>
      <x:c r="C31" s="408" t="str">
        <x:v>WALL</x:v>
      </x:c>
      <x:c r="D31" s="408" t="str">
        <x:v>Primary Bedroom East Wall</x:v>
      </x:c>
      <x:c r="E31" s="408" t="str">
        <x:v>ROOM.PRIMARY_BEDROOM.WALL.EAST</x:v>
      </x:c>
      <x:c r="F31" s="408" t="str">
        <x:v>ROOM.PRIMARY_BEDROOM</x:v>
      </x:c>
      <x:c r="G31" s="408" t="str">
        <x:v>ROOM.PRIMARY_BEDROOM</x:v>
      </x:c>
      <x:c r="H31" s="408" t="str">
        <x:v>Enclose room / host openings</x:v>
      </x:c>
      <x:c r="I31" s="408" t="str">
        <x:v>Ends controlled by room boundary</x:v>
      </x:c>
      <x:c r="J31" s="408"/>
      <x:c r="K31" s="408"/>
      <x:c r="L31" s="408"/>
      <x:c r="M31" s="408"/>
      <x:c r="N31" s="408"/>
      <x:c r="O31" s="408"/>
      <x:c r="P31" s="408" t="str">
        <x:v>N/A</x:v>
      </x:c>
      <x:c r="Q31" s="408" t="str">
        <x:v>N/A</x:v>
      </x:c>
      <x:c r="R31" s="408" t="str"/>
    </x:row>
    <x:row r="32">
      <x:c r="B32" s="408" t="str">
        <x:v>Example</x:v>
      </x:c>
      <x:c r="C32" s="408" t="str">
        <x:v>WINDOW</x:v>
      </x:c>
      <x:c r="D32" s="408" t="str">
        <x:v>Primary Bedroom East Window 01</x:v>
      </x:c>
      <x:c r="E32" s="408" t="str">
        <x:v>ROOM.PRIMARY_BEDROOM.WALL.EAST.WINDOW.01</x:v>
      </x:c>
      <x:c r="F32" s="408" t="str">
        <x:v>ROOM.PRIMARY_BEDROOM</x:v>
      </x:c>
      <x:c r="G32" s="408" t="str">
        <x:v>ROOM.PRIMARY_BEDROOM.WALL.EAST</x:v>
      </x:c>
      <x:c r="H32" s="408" t="str">
        <x:v>Opening / daylight / egress as applicable</x:v>
      </x:c>
      <x:c r="I32" s="408" t="str">
        <x:v>KEEP_OFFSET_FROM_SOUTH_END</x:v>
      </x:c>
      <x:c r="J32" s="408"/>
      <x:c r="K32" s="408"/>
      <x:c r="L32" s="408"/>
      <x:c r="M32" s="408"/>
      <x:c r="N32" s="408"/>
      <x:c r="O32" s="408"/>
      <x:c r="P32" s="408" t="str">
        <x:v>N/A</x:v>
      </x:c>
      <x:c r="Q32" s="408" t="str">
        <x:v>N/A</x:v>
      </x:c>
      <x:c r="R32" s="408" t="str"/>
    </x:row>
    <x:row r="33">
      <x:c r="B33" s="408" t="str">
        <x:v>Example</x:v>
      </x:c>
      <x:c r="C33" s="408" t="str">
        <x:v>BEAM</x:v>
      </x:c>
      <x:c r="D33" s="408" t="str">
        <x:v>Beam B4</x:v>
      </x:c>
      <x:c r="E33" s="408" t="str">
        <x:v>STRUCT.BEAM.B4</x:v>
      </x:c>
      <x:c r="F33" s="408" t="str">
        <x:v>LEVEL.01</x:v>
      </x:c>
      <x:c r="G33" s="408"/>
      <x:c r="H33" s="408" t="str">
        <x:v>Transfer gravity load</x:v>
      </x:c>
      <x:c r="I33" s="408" t="str">
        <x:v>SUPPORT.WEST=PB.WEST_WALL; SUPPORT.EAST=PB.EAST_WALL</x:v>
      </x:c>
      <x:c r="J33" s="408"/>
      <x:c r="K33" s="408"/>
      <x:c r="L33" s="408"/>
      <x:c r="M33" s="408"/>
      <x:c r="N33" s="408"/>
      <x:c r="O33" s="408"/>
      <x:c r="P33" s="408" t="str">
        <x:v>N/A</x:v>
      </x:c>
      <x:c r="Q33" s="408" t="str">
        <x:v>N/A</x:v>
      </x:c>
      <x:c r="R33" s="408" t="str"/>
    </x:row>
    <x:row r="34">
      <x:c r="B34" s="408" t="str">
        <x:v>Example</x:v>
      </x:c>
      <x:c r="C34" s="408" t="str">
        <x:v>FOOTING</x:v>
      </x:c>
      <x:c r="D34" s="408" t="str">
        <x:v>Footing F3</x:v>
      </x:c>
      <x:c r="E34" s="408" t="str">
        <x:v>STRUCT.FOOTING.F3</x:v>
      </x:c>
      <x:c r="F34" s="408" t="str">
        <x:v>LEVEL.01</x:v>
      </x:c>
      <x:c r="G34" s="408" t="str">
        <x:v>STRUCT.POST.P3</x:v>
      </x:c>
      <x:c r="H34" s="408" t="str">
        <x:v>Transfer building load to soil</x:v>
      </x:c>
      <x:c r="I34" s="408" t="str">
        <x:v>FOLLOW_SUPPORTED_OBJECT</x:v>
      </x:c>
      <x:c r="J34" s="408"/>
      <x:c r="K34" s="408"/>
      <x:c r="L34" s="408"/>
      <x:c r="M34" s="408"/>
      <x:c r="N34" s="408"/>
      <x:c r="O34" s="408"/>
      <x:c r="P34" s="408" t="str">
        <x:v>N/A</x:v>
      </x:c>
      <x:c r="Q34" s="408" t="str">
        <x:v>N/A</x:v>
      </x:c>
      <x:c r="R34" s="408" t="str"/>
    </x:row>
  </x:sheetData>
  <x:mergeCells>
    <x:mergeCell ref="B2:R2"/>
    <x:mergeCell ref="B4:R4"/>
    <x:mergeCell ref="B29:R29"/>
  </x:mergeCells>
  <x:dataValidations count="2">
    <x:dataValidation type="list" sqref="P7:P26">
      <x:formula1>"INCOMPLETE,CALCULATED,VERIFIED,REVIEW,N/A"</x:formula1>
    </x:dataValidation>
    <x:dataValidation type="list" sqref="Q7:Q26">
      <x:formula1>"PENDING,ENGINEER APPROVED,DRAFTER APPROVED,APPROVED,REJECTED"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2" max="2" width="14" hidden="0" customWidth="1"/>
    <x:col min="3" max="3" width="18" hidden="0" customWidth="1"/>
    <x:col min="4" max="4" width="28" hidden="0" customWidth="1"/>
    <x:col min="5" max="5" width="18" hidden="0" customWidth="1"/>
    <x:col min="6" max="6" width="16" hidden="0" customWidth="1"/>
    <x:col min="7" max="7" width="16" hidden="0" customWidth="1"/>
    <x:col min="8" max="8" width="30" hidden="0" customWidth="1"/>
    <x:col min="9" max="9" width="34" hidden="0" customWidth="1"/>
    <x:col min="10" max="10" width="26" hidden="0" customWidth="1"/>
    <x:col min="11" max="11" width="38" hidden="0" customWidth="1"/>
    <x:col min="12" max="12" width="18" hidden="0" customWidth="1"/>
    <x:col min="13" max="13" width="18" hidden="0" customWidth="1"/>
    <x:col min="14" max="14" width="12" hidden="0" customWidth="1"/>
    <x:col min="15" max="15" width="16" hidden="0" customWidth="1"/>
    <x:col min="16" max="16" width="14" hidden="0" customWidth="1"/>
    <x:col min="17" max="17" width="18" hidden="0" customWidth="1"/>
  </x:cols>
  <x:sheetData>
    <x:row r="2" ht="28" customHeight="1">
      <x:c r="B2" s="514" t="str">
        <x:v>DESIGN CHANGE → IMPACT ANALYSIS → APPROVAL → SYNCHRONIZED REVISION</x:v>
      </x:c>
      <x:c r="C2" s="514"/>
      <x:c r="D2" s="514"/>
      <x:c r="E2" s="514"/>
      <x:c r="F2" s="514"/>
      <x:c r="G2" s="514"/>
      <x:c r="H2" s="514"/>
      <x:c r="I2" s="514"/>
      <x:c r="J2" s="514"/>
      <x:c r="K2" s="514"/>
      <x:c r="L2" s="514"/>
      <x:c r="M2" s="514"/>
      <x:c r="N2" s="514"/>
      <x:c r="O2" s="514"/>
      <x:c r="P2" s="514"/>
      <x:c r="Q2" s="514"/>
    </x:row>
    <x:row r="4">
      <x:c r="B4" s="517" t="str">
        <x:v>A design change never silently edits the set. The engine identifies dependent calculations and every CAD representation, prepares the proposed revisions, then waits for the appropriate approvals. After write-back, a reconciliation pass verifies that the project model, calculations, schedules, details, and drawings agree.</x:v>
      </x:c>
      <x:c r="C4" s="517"/>
      <x:c r="D4" s="517"/>
      <x:c r="E4" s="517"/>
      <x:c r="F4" s="517"/>
      <x:c r="G4" s="517"/>
      <x:c r="H4" s="517"/>
      <x:c r="I4" s="517"/>
      <x:c r="J4" s="517"/>
      <x:c r="K4" s="517"/>
      <x:c r="L4" s="517"/>
      <x:c r="M4" s="517"/>
      <x:c r="N4" s="517"/>
      <x:c r="O4" s="517"/>
      <x:c r="P4" s="517"/>
      <x:c r="Q4" s="517"/>
    </x:row>
    <x:row r="6">
      <x:c r="B6" s="480" t="str">
        <x:v>Change ID</x:v>
      </x:c>
      <x:c r="C6" s="480" t="str">
        <x:v>Object ID</x:v>
      </x:c>
      <x:c r="D6" s="480" t="str">
        <x:v>Human Object</x:v>
      </x:c>
      <x:c r="E6" s="480" t="str">
        <x:v>Property</x:v>
      </x:c>
      <x:c r="F6" s="480" t="str">
        <x:v>Current Value</x:v>
      </x:c>
      <x:c r="G6" s="480" t="str">
        <x:v>Proposed Value</x:v>
      </x:c>
      <x:c r="H6" s="480" t="str">
        <x:v>Reason</x:v>
      </x:c>
      <x:c r="I6" s="480" t="str">
        <x:v>Functional Impact</x:v>
      </x:c>
      <x:c r="J6" s="480" t="str">
        <x:v>Recalc Modules</x:v>
      </x:c>
      <x:c r="K6" s="480" t="str">
        <x:v>Affected CAD Objects / Sheets</x:v>
      </x:c>
      <x:c r="L6" s="480" t="str">
        <x:v>Engineer Approval</x:v>
      </x:c>
      <x:c r="M6" s="480" t="str">
        <x:v>Drafter Approval</x:v>
      </x:c>
      <x:c r="N6" s="480" t="str">
        <x:v>Applied?</x:v>
      </x:c>
      <x:c r="O6" s="480" t="str">
        <x:v>Reconciliation</x:v>
      </x:c>
      <x:c r="P6" s="480" t="str">
        <x:v>Issue Status</x:v>
      </x:c>
      <x:c r="Q6" s="480" t="str">
        <x:v>Requested By</x:v>
      </x:c>
    </x:row>
    <x:row r="7">
      <x:c r="B7" s="526"/>
      <x:c r="C7" s="526"/>
      <x:c r="D7" s="526"/>
      <x:c r="E7" s="526"/>
      <x:c r="F7" s="526"/>
      <x:c r="G7" s="526"/>
      <x:c r="H7" s="526"/>
      <x:c r="I7" s="526"/>
      <x:c r="J7" s="526"/>
      <x:c r="K7" s="526"/>
      <x:c r="L7" s="534"/>
      <x:c r="M7" s="534"/>
      <x:c r="N7" s="534"/>
      <x:c r="O7" s="534"/>
      <x:c r="P7" s="527" t="str">
        <x:f>IF(OR(L7="REJECT",M7="REJECT"),"REJECTED",IF(AND(L7="APPROVE",M7="APPROVE",N7="YES",O7="MATCH"),"READY","PENDING"))</x:f>
        <x:v>PENDING</x:v>
      </x:c>
      <x:c r="Q7" s="525"/>
    </x:row>
    <x:row r="8">
      <x:c r="B8" s="526"/>
      <x:c r="C8" s="526"/>
      <x:c r="D8" s="526"/>
      <x:c r="E8" s="526"/>
      <x:c r="F8" s="526"/>
      <x:c r="G8" s="526"/>
      <x:c r="H8" s="526"/>
      <x:c r="I8" s="526"/>
      <x:c r="J8" s="526"/>
      <x:c r="K8" s="526"/>
      <x:c r="L8" s="534"/>
      <x:c r="M8" s="534"/>
      <x:c r="N8" s="534"/>
      <x:c r="O8" s="534"/>
      <x:c r="P8" s="527" t="str">
        <x:f>IF(OR(L8="REJECT",M8="REJECT"),"REJECTED",IF(AND(L8="APPROVE",M8="APPROVE",N8="YES",O8="MATCH"),"READY","PENDING"))</x:f>
        <x:v>PENDING</x:v>
      </x:c>
      <x:c r="Q8" s="525"/>
    </x:row>
    <x:row r="9">
      <x:c r="B9" s="526"/>
      <x:c r="C9" s="526"/>
      <x:c r="D9" s="526"/>
      <x:c r="E9" s="526"/>
      <x:c r="F9" s="526"/>
      <x:c r="G9" s="526"/>
      <x:c r="H9" s="526"/>
      <x:c r="I9" s="526"/>
      <x:c r="J9" s="526"/>
      <x:c r="K9" s="526"/>
      <x:c r="L9" s="534"/>
      <x:c r="M9" s="534"/>
      <x:c r="N9" s="534"/>
      <x:c r="O9" s="534"/>
      <x:c r="P9" s="527" t="str">
        <x:f>IF(OR(L9="REJECT",M9="REJECT"),"REJECTED",IF(AND(L9="APPROVE",M9="APPROVE",N9="YES",O9="MATCH"),"READY","PENDING"))</x:f>
        <x:v>PENDING</x:v>
      </x:c>
      <x:c r="Q9" s="525"/>
    </x:row>
    <x:row r="10">
      <x:c r="B10" s="526"/>
      <x:c r="C10" s="526"/>
      <x:c r="D10" s="526"/>
      <x:c r="E10" s="526"/>
      <x:c r="F10" s="526"/>
      <x:c r="G10" s="526"/>
      <x:c r="H10" s="526"/>
      <x:c r="I10" s="526"/>
      <x:c r="J10" s="526"/>
      <x:c r="K10" s="526"/>
      <x:c r="L10" s="534"/>
      <x:c r="M10" s="534"/>
      <x:c r="N10" s="534"/>
      <x:c r="O10" s="534"/>
      <x:c r="P10" s="527" t="str">
        <x:f>IF(OR(L10="REJECT",M10="REJECT"),"REJECTED",IF(AND(L10="APPROVE",M10="APPROVE",N10="YES",O10="MATCH"),"READY","PENDING"))</x:f>
        <x:v>PENDING</x:v>
      </x:c>
      <x:c r="Q10" s="525"/>
    </x:row>
    <x:row r="11">
      <x:c r="B11" s="526"/>
      <x:c r="C11" s="526"/>
      <x:c r="D11" s="526"/>
      <x:c r="E11" s="526"/>
      <x:c r="F11" s="526"/>
      <x:c r="G11" s="526"/>
      <x:c r="H11" s="526"/>
      <x:c r="I11" s="526"/>
      <x:c r="J11" s="526"/>
      <x:c r="K11" s="526"/>
      <x:c r="L11" s="534"/>
      <x:c r="M11" s="534"/>
      <x:c r="N11" s="534"/>
      <x:c r="O11" s="534"/>
      <x:c r="P11" s="527" t="str">
        <x:f>IF(OR(L11="REJECT",M11="REJECT"),"REJECTED",IF(AND(L11="APPROVE",M11="APPROVE",N11="YES",O11="MATCH"),"READY","PENDING"))</x:f>
        <x:v>PENDING</x:v>
      </x:c>
      <x:c r="Q11" s="525"/>
    </x:row>
    <x:row r="12">
      <x:c r="B12" s="526"/>
      <x:c r="C12" s="526"/>
      <x:c r="D12" s="526"/>
      <x:c r="E12" s="526"/>
      <x:c r="F12" s="526"/>
      <x:c r="G12" s="526"/>
      <x:c r="H12" s="526"/>
      <x:c r="I12" s="526"/>
      <x:c r="J12" s="526"/>
      <x:c r="K12" s="526"/>
      <x:c r="L12" s="534"/>
      <x:c r="M12" s="534"/>
      <x:c r="N12" s="534"/>
      <x:c r="O12" s="534"/>
      <x:c r="P12" s="527" t="str">
        <x:f>IF(OR(L12="REJECT",M12="REJECT"),"REJECTED",IF(AND(L12="APPROVE",M12="APPROVE",N12="YES",O12="MATCH"),"READY","PENDING"))</x:f>
        <x:v>PENDING</x:v>
      </x:c>
      <x:c r="Q12" s="525"/>
    </x:row>
    <x:row r="13">
      <x:c r="B13" s="526"/>
      <x:c r="C13" s="526"/>
      <x:c r="D13" s="526"/>
      <x:c r="E13" s="526"/>
      <x:c r="F13" s="526"/>
      <x:c r="G13" s="526"/>
      <x:c r="H13" s="526"/>
      <x:c r="I13" s="526"/>
      <x:c r="J13" s="526"/>
      <x:c r="K13" s="526"/>
      <x:c r="L13" s="534"/>
      <x:c r="M13" s="534"/>
      <x:c r="N13" s="534"/>
      <x:c r="O13" s="534"/>
      <x:c r="P13" s="527" t="str">
        <x:f>IF(OR(L13="REJECT",M13="REJECT"),"REJECTED",IF(AND(L13="APPROVE",M13="APPROVE",N13="YES",O13="MATCH"),"READY","PENDING"))</x:f>
        <x:v>PENDING</x:v>
      </x:c>
      <x:c r="Q13" s="525"/>
    </x:row>
    <x:row r="14">
      <x:c r="B14" s="526"/>
      <x:c r="C14" s="526"/>
      <x:c r="D14" s="526"/>
      <x:c r="E14" s="526"/>
      <x:c r="F14" s="526"/>
      <x:c r="G14" s="526"/>
      <x:c r="H14" s="526"/>
      <x:c r="I14" s="526"/>
      <x:c r="J14" s="526"/>
      <x:c r="K14" s="526"/>
      <x:c r="L14" s="534"/>
      <x:c r="M14" s="534"/>
      <x:c r="N14" s="534"/>
      <x:c r="O14" s="534"/>
      <x:c r="P14" s="527" t="str">
        <x:f>IF(OR(L14="REJECT",M14="REJECT"),"REJECTED",IF(AND(L14="APPROVE",M14="APPROVE",N14="YES",O14="MATCH"),"READY","PENDING"))</x:f>
        <x:v>PENDING</x:v>
      </x:c>
      <x:c r="Q14" s="525"/>
    </x:row>
    <x:row r="15">
      <x:c r="B15" s="526"/>
      <x:c r="C15" s="526"/>
      <x:c r="D15" s="526"/>
      <x:c r="E15" s="526"/>
      <x:c r="F15" s="526"/>
      <x:c r="G15" s="526"/>
      <x:c r="H15" s="526"/>
      <x:c r="I15" s="526"/>
      <x:c r="J15" s="526"/>
      <x:c r="K15" s="526"/>
      <x:c r="L15" s="534"/>
      <x:c r="M15" s="534"/>
      <x:c r="N15" s="534"/>
      <x:c r="O15" s="534"/>
      <x:c r="P15" s="527" t="str">
        <x:f>IF(OR(L15="REJECT",M15="REJECT"),"REJECTED",IF(AND(L15="APPROVE",M15="APPROVE",N15="YES",O15="MATCH"),"READY","PENDING"))</x:f>
        <x:v>PENDING</x:v>
      </x:c>
      <x:c r="Q15" s="525"/>
    </x:row>
    <x:row r="16">
      <x:c r="B16" s="526"/>
      <x:c r="C16" s="526"/>
      <x:c r="D16" s="526"/>
      <x:c r="E16" s="526"/>
      <x:c r="F16" s="526"/>
      <x:c r="G16" s="526"/>
      <x:c r="H16" s="526"/>
      <x:c r="I16" s="526"/>
      <x:c r="J16" s="526"/>
      <x:c r="K16" s="526"/>
      <x:c r="L16" s="534"/>
      <x:c r="M16" s="534"/>
      <x:c r="N16" s="534"/>
      <x:c r="O16" s="534"/>
      <x:c r="P16" s="527" t="str">
        <x:f>IF(OR(L16="REJECT",M16="REJECT"),"REJECTED",IF(AND(L16="APPROVE",M16="APPROVE",N16="YES",O16="MATCH"),"READY","PENDING"))</x:f>
        <x:v>PENDING</x:v>
      </x:c>
      <x:c r="Q16" s="525"/>
    </x:row>
    <x:row r="17">
      <x:c r="B17" s="526"/>
      <x:c r="C17" s="526"/>
      <x:c r="D17" s="526"/>
      <x:c r="E17" s="526"/>
      <x:c r="F17" s="526"/>
      <x:c r="G17" s="526"/>
      <x:c r="H17" s="526"/>
      <x:c r="I17" s="526"/>
      <x:c r="J17" s="526"/>
      <x:c r="K17" s="526"/>
      <x:c r="L17" s="534"/>
      <x:c r="M17" s="534"/>
      <x:c r="N17" s="534"/>
      <x:c r="O17" s="534"/>
      <x:c r="P17" s="527" t="str">
        <x:f>IF(OR(L17="REJECT",M17="REJECT"),"REJECTED",IF(AND(L17="APPROVE",M17="APPROVE",N17="YES",O17="MATCH"),"READY","PENDING"))</x:f>
        <x:v>PENDING</x:v>
      </x:c>
      <x:c r="Q17" s="525"/>
    </x:row>
    <x:row r="18">
      <x:c r="B18" s="526"/>
      <x:c r="C18" s="526"/>
      <x:c r="D18" s="526"/>
      <x:c r="E18" s="526"/>
      <x:c r="F18" s="526"/>
      <x:c r="G18" s="526"/>
      <x:c r="H18" s="526"/>
      <x:c r="I18" s="526"/>
      <x:c r="J18" s="526"/>
      <x:c r="K18" s="526"/>
      <x:c r="L18" s="534"/>
      <x:c r="M18" s="534"/>
      <x:c r="N18" s="534"/>
      <x:c r="O18" s="534"/>
      <x:c r="P18" s="527" t="str">
        <x:f>IF(OR(L18="REJECT",M18="REJECT"),"REJECTED",IF(AND(L18="APPROVE",M18="APPROVE",N18="YES",O18="MATCH"),"READY","PENDING"))</x:f>
        <x:v>PENDING</x:v>
      </x:c>
      <x:c r="Q18" s="525"/>
    </x:row>
    <x:row r="19">
      <x:c r="B19" s="526"/>
      <x:c r="C19" s="526"/>
      <x:c r="D19" s="526"/>
      <x:c r="E19" s="526"/>
      <x:c r="F19" s="526"/>
      <x:c r="G19" s="526"/>
      <x:c r="H19" s="526"/>
      <x:c r="I19" s="526"/>
      <x:c r="J19" s="526"/>
      <x:c r="K19" s="526"/>
      <x:c r="L19" s="534"/>
      <x:c r="M19" s="534"/>
      <x:c r="N19" s="534"/>
      <x:c r="O19" s="534"/>
      <x:c r="P19" s="527" t="str">
        <x:f>IF(OR(L19="REJECT",M19="REJECT"),"REJECTED",IF(AND(L19="APPROVE",M19="APPROVE",N19="YES",O19="MATCH"),"READY","PENDING"))</x:f>
        <x:v>PENDING</x:v>
      </x:c>
      <x:c r="Q19" s="525"/>
    </x:row>
    <x:row r="20">
      <x:c r="B20" s="526"/>
      <x:c r="C20" s="526"/>
      <x:c r="D20" s="526"/>
      <x:c r="E20" s="526"/>
      <x:c r="F20" s="526"/>
      <x:c r="G20" s="526"/>
      <x:c r="H20" s="526"/>
      <x:c r="I20" s="526"/>
      <x:c r="J20" s="526"/>
      <x:c r="K20" s="526"/>
      <x:c r="L20" s="534"/>
      <x:c r="M20" s="534"/>
      <x:c r="N20" s="534"/>
      <x:c r="O20" s="534"/>
      <x:c r="P20" s="527" t="str">
        <x:f>IF(OR(L20="REJECT",M20="REJECT"),"REJECTED",IF(AND(L20="APPROVE",M20="APPROVE",N20="YES",O20="MATCH"),"READY","PENDING"))</x:f>
        <x:v>PENDING</x:v>
      </x:c>
      <x:c r="Q20" s="525"/>
    </x:row>
    <x:row r="21">
      <x:c r="B21" s="526"/>
      <x:c r="C21" s="526"/>
      <x:c r="D21" s="526"/>
      <x:c r="E21" s="526"/>
      <x:c r="F21" s="526"/>
      <x:c r="G21" s="526"/>
      <x:c r="H21" s="526"/>
      <x:c r="I21" s="526"/>
      <x:c r="J21" s="526"/>
      <x:c r="K21" s="526"/>
      <x:c r="L21" s="534"/>
      <x:c r="M21" s="534"/>
      <x:c r="N21" s="534"/>
      <x:c r="O21" s="534"/>
      <x:c r="P21" s="527" t="str">
        <x:f>IF(OR(L21="REJECT",M21="REJECT"),"REJECTED",IF(AND(L21="APPROVE",M21="APPROVE",N21="YES",O21="MATCH"),"READY","PENDING"))</x:f>
        <x:v>PENDING</x:v>
      </x:c>
      <x:c r="Q21" s="525"/>
    </x:row>
    <x:row r="22">
      <x:c r="B22" s="526"/>
      <x:c r="C22" s="526"/>
      <x:c r="D22" s="526"/>
      <x:c r="E22" s="526"/>
      <x:c r="F22" s="526"/>
      <x:c r="G22" s="526"/>
      <x:c r="H22" s="526"/>
      <x:c r="I22" s="526"/>
      <x:c r="J22" s="526"/>
      <x:c r="K22" s="526"/>
      <x:c r="L22" s="534"/>
      <x:c r="M22" s="534"/>
      <x:c r="N22" s="534"/>
      <x:c r="O22" s="534"/>
      <x:c r="P22" s="527" t="str">
        <x:f>IF(OR(L22="REJECT",M22="REJECT"),"REJECTED",IF(AND(L22="APPROVE",M22="APPROVE",N22="YES",O22="MATCH"),"READY","PENDING"))</x:f>
        <x:v>PENDING</x:v>
      </x:c>
      <x:c r="Q22" s="525"/>
    </x:row>
    <x:row r="23">
      <x:c r="B23" s="526"/>
      <x:c r="C23" s="526"/>
      <x:c r="D23" s="526"/>
      <x:c r="E23" s="526"/>
      <x:c r="F23" s="526"/>
      <x:c r="G23" s="526"/>
      <x:c r="H23" s="526"/>
      <x:c r="I23" s="526"/>
      <x:c r="J23" s="526"/>
      <x:c r="K23" s="526"/>
      <x:c r="L23" s="534"/>
      <x:c r="M23" s="534"/>
      <x:c r="N23" s="534"/>
      <x:c r="O23" s="534"/>
      <x:c r="P23" s="527" t="str">
        <x:f>IF(OR(L23="REJECT",M23="REJECT"),"REJECTED",IF(AND(L23="APPROVE",M23="APPROVE",N23="YES",O23="MATCH"),"READY","PENDING"))</x:f>
        <x:v>PENDING</x:v>
      </x:c>
      <x:c r="Q23" s="525"/>
    </x:row>
    <x:row r="24">
      <x:c r="B24" s="526"/>
      <x:c r="C24" s="526"/>
      <x:c r="D24" s="526"/>
      <x:c r="E24" s="526"/>
      <x:c r="F24" s="526"/>
      <x:c r="G24" s="526"/>
      <x:c r="H24" s="526"/>
      <x:c r="I24" s="526"/>
      <x:c r="J24" s="526"/>
      <x:c r="K24" s="526"/>
      <x:c r="L24" s="534"/>
      <x:c r="M24" s="534"/>
      <x:c r="N24" s="534"/>
      <x:c r="O24" s="534"/>
      <x:c r="P24" s="527" t="str">
        <x:f>IF(OR(L24="REJECT",M24="REJECT"),"REJECTED",IF(AND(L24="APPROVE",M24="APPROVE",N24="YES",O24="MATCH"),"READY","PENDING"))</x:f>
        <x:v>PENDING</x:v>
      </x:c>
      <x:c r="Q24" s="525"/>
    </x:row>
    <x:row r="25">
      <x:c r="B25" s="526"/>
      <x:c r="C25" s="526"/>
      <x:c r="D25" s="526"/>
      <x:c r="E25" s="526"/>
      <x:c r="F25" s="526"/>
      <x:c r="G25" s="526"/>
      <x:c r="H25" s="526"/>
      <x:c r="I25" s="526"/>
      <x:c r="J25" s="526"/>
      <x:c r="K25" s="526"/>
      <x:c r="L25" s="534"/>
      <x:c r="M25" s="534"/>
      <x:c r="N25" s="534"/>
      <x:c r="O25" s="534"/>
      <x:c r="P25" s="527" t="str">
        <x:f>IF(OR(L25="REJECT",M25="REJECT"),"REJECTED",IF(AND(L25="APPROVE",M25="APPROVE",N25="YES",O25="MATCH"),"READY","PENDING"))</x:f>
        <x:v>PENDING</x:v>
      </x:c>
      <x:c r="Q25" s="525"/>
    </x:row>
    <x:row r="26">
      <x:c r="B26" s="526"/>
      <x:c r="C26" s="526"/>
      <x:c r="D26" s="526"/>
      <x:c r="E26" s="526"/>
      <x:c r="F26" s="526"/>
      <x:c r="G26" s="526"/>
      <x:c r="H26" s="526"/>
      <x:c r="I26" s="526"/>
      <x:c r="J26" s="526"/>
      <x:c r="K26" s="526"/>
      <x:c r="L26" s="534"/>
      <x:c r="M26" s="534"/>
      <x:c r="N26" s="534"/>
      <x:c r="O26" s="534"/>
      <x:c r="P26" s="527" t="str">
        <x:f>IF(OR(L26="REJECT",M26="REJECT"),"REJECTED",IF(AND(L26="APPROVE",M26="APPROVE",N26="YES",O26="MATCH"),"READY","PENDING"))</x:f>
        <x:v>PENDING</x:v>
      </x:c>
      <x:c r="Q26" s="525"/>
    </x:row>
  </x:sheetData>
  <x:mergeCells>
    <x:mergeCell ref="B2:Q2"/>
    <x:mergeCell ref="B4:Q4"/>
  </x:mergeCells>
  <x:dataValidations count="80">
    <x:dataValidation type="list" sqref="L7">
      <x:formula1>"PENDING,APPROVE,REJECT"</x:formula1>
    </x:dataValidation>
    <x:dataValidation type="list" sqref="M7">
      <x:formula1>"PENDING,APPROVE,REJECT"</x:formula1>
    </x:dataValidation>
    <x:dataValidation type="list" sqref="N7">
      <x:formula1>"NO,YES"</x:formula1>
    </x:dataValidation>
    <x:dataValidation type="list" sqref="O7">
      <x:formula1>"PENDING,MATCH,MISMATCH"</x:formula1>
    </x:dataValidation>
    <x:dataValidation type="list" sqref="L8">
      <x:formula1>"PENDING,APPROVE,REJECT"</x:formula1>
    </x:dataValidation>
    <x:dataValidation type="list" sqref="M8">
      <x:formula1>"PENDING,APPROVE,REJECT"</x:formula1>
    </x:dataValidation>
    <x:dataValidation type="list" sqref="N8">
      <x:formula1>"NO,YES"</x:formula1>
    </x:dataValidation>
    <x:dataValidation type="list" sqref="O8">
      <x:formula1>"PENDING,MATCH,MISMATCH"</x:formula1>
    </x:dataValidation>
    <x:dataValidation type="list" sqref="L9">
      <x:formula1>"PENDING,APPROVE,REJECT"</x:formula1>
    </x:dataValidation>
    <x:dataValidation type="list" sqref="M9">
      <x:formula1>"PENDING,APPROVE,REJECT"</x:formula1>
    </x:dataValidation>
    <x:dataValidation type="list" sqref="N9">
      <x:formula1>"NO,YES"</x:formula1>
    </x:dataValidation>
    <x:dataValidation type="list" sqref="O9">
      <x:formula1>"PENDING,MATCH,MISMATCH"</x:formula1>
    </x:dataValidation>
    <x:dataValidation type="list" sqref="L10">
      <x:formula1>"PENDING,APPROVE,REJECT"</x:formula1>
    </x:dataValidation>
    <x:dataValidation type="list" sqref="M10">
      <x:formula1>"PENDING,APPROVE,REJECT"</x:formula1>
    </x:dataValidation>
    <x:dataValidation type="list" sqref="N10">
      <x:formula1>"NO,YES"</x:formula1>
    </x:dataValidation>
    <x:dataValidation type="list" sqref="O10">
      <x:formula1>"PENDING,MATCH,MISMATCH"</x:formula1>
    </x:dataValidation>
    <x:dataValidation type="list" sqref="L11">
      <x:formula1>"PENDING,APPROVE,REJECT"</x:formula1>
    </x:dataValidation>
    <x:dataValidation type="list" sqref="M11">
      <x:formula1>"PENDING,APPROVE,REJECT"</x:formula1>
    </x:dataValidation>
    <x:dataValidation type="list" sqref="N11">
      <x:formula1>"NO,YES"</x:formula1>
    </x:dataValidation>
    <x:dataValidation type="list" sqref="O11">
      <x:formula1>"PENDING,MATCH,MISMATCH"</x:formula1>
    </x:dataValidation>
    <x:dataValidation type="list" sqref="L12">
      <x:formula1>"PENDING,APPROVE,REJECT"</x:formula1>
    </x:dataValidation>
    <x:dataValidation type="list" sqref="M12">
      <x:formula1>"PENDING,APPROVE,REJECT"</x:formula1>
    </x:dataValidation>
    <x:dataValidation type="list" sqref="N12">
      <x:formula1>"NO,YES"</x:formula1>
    </x:dataValidation>
    <x:dataValidation type="list" sqref="O12">
      <x:formula1>"PENDING,MATCH,MISMATCH"</x:formula1>
    </x:dataValidation>
    <x:dataValidation type="list" sqref="L13">
      <x:formula1>"PENDING,APPROVE,REJECT"</x:formula1>
    </x:dataValidation>
    <x:dataValidation type="list" sqref="M13">
      <x:formula1>"PENDING,APPROVE,REJECT"</x:formula1>
    </x:dataValidation>
    <x:dataValidation type="list" sqref="N13">
      <x:formula1>"NO,YES"</x:formula1>
    </x:dataValidation>
    <x:dataValidation type="list" sqref="O13">
      <x:formula1>"PENDING,MATCH,MISMATCH"</x:formula1>
    </x:dataValidation>
    <x:dataValidation type="list" sqref="L14">
      <x:formula1>"PENDING,APPROVE,REJECT"</x:formula1>
    </x:dataValidation>
    <x:dataValidation type="list" sqref="M14">
      <x:formula1>"PENDING,APPROVE,REJECT"</x:formula1>
    </x:dataValidation>
    <x:dataValidation type="list" sqref="N14">
      <x:formula1>"NO,YES"</x:formula1>
    </x:dataValidation>
    <x:dataValidation type="list" sqref="O14">
      <x:formula1>"PENDING,MATCH,MISMATCH"</x:formula1>
    </x:dataValidation>
    <x:dataValidation type="list" sqref="L15">
      <x:formula1>"PENDING,APPROVE,REJECT"</x:formula1>
    </x:dataValidation>
    <x:dataValidation type="list" sqref="M15">
      <x:formula1>"PENDING,APPROVE,REJECT"</x:formula1>
    </x:dataValidation>
    <x:dataValidation type="list" sqref="N15">
      <x:formula1>"NO,YES"</x:formula1>
    </x:dataValidation>
    <x:dataValidation type="list" sqref="O15">
      <x:formula1>"PENDING,MATCH,MISMATCH"</x:formula1>
    </x:dataValidation>
    <x:dataValidation type="list" sqref="L16">
      <x:formula1>"PENDING,APPROVE,REJECT"</x:formula1>
    </x:dataValidation>
    <x:dataValidation type="list" sqref="M16">
      <x:formula1>"PENDING,APPROVE,REJECT"</x:formula1>
    </x:dataValidation>
    <x:dataValidation type="list" sqref="N16">
      <x:formula1>"NO,YES"</x:formula1>
    </x:dataValidation>
    <x:dataValidation type="list" sqref="O16">
      <x:formula1>"PENDING,MATCH,MISMATCH"</x:formula1>
    </x:dataValidation>
    <x:dataValidation type="list" sqref="L17">
      <x:formula1>"PENDING,APPROVE,REJECT"</x:formula1>
    </x:dataValidation>
    <x:dataValidation type="list" sqref="M17">
      <x:formula1>"PENDING,APPROVE,REJECT"</x:formula1>
    </x:dataValidation>
    <x:dataValidation type="list" sqref="N17">
      <x:formula1>"NO,YES"</x:formula1>
    </x:dataValidation>
    <x:dataValidation type="list" sqref="O17">
      <x:formula1>"PENDING,MATCH,MISMATCH"</x:formula1>
    </x:dataValidation>
    <x:dataValidation type="list" sqref="L18">
      <x:formula1>"PENDING,APPROVE,REJECT"</x:formula1>
    </x:dataValidation>
    <x:dataValidation type="list" sqref="M18">
      <x:formula1>"PENDING,APPROVE,REJECT"</x:formula1>
    </x:dataValidation>
    <x:dataValidation type="list" sqref="N18">
      <x:formula1>"NO,YES"</x:formula1>
    </x:dataValidation>
    <x:dataValidation type="list" sqref="O18">
      <x:formula1>"PENDING,MATCH,MISMATCH"</x:formula1>
    </x:dataValidation>
    <x:dataValidation type="list" sqref="L19">
      <x:formula1>"PENDING,APPROVE,REJECT"</x:formula1>
    </x:dataValidation>
    <x:dataValidation type="list" sqref="M19">
      <x:formula1>"PENDING,APPROVE,REJECT"</x:formula1>
    </x:dataValidation>
    <x:dataValidation type="list" sqref="N19">
      <x:formula1>"NO,YES"</x:formula1>
    </x:dataValidation>
    <x:dataValidation type="list" sqref="O19">
      <x:formula1>"PENDING,MATCH,MISMATCH"</x:formula1>
    </x:dataValidation>
    <x:dataValidation type="list" sqref="L20">
      <x:formula1>"PENDING,APPROVE,REJECT"</x:formula1>
    </x:dataValidation>
    <x:dataValidation type="list" sqref="M20">
      <x:formula1>"PENDING,APPROVE,REJECT"</x:formula1>
    </x:dataValidation>
    <x:dataValidation type="list" sqref="N20">
      <x:formula1>"NO,YES"</x:formula1>
    </x:dataValidation>
    <x:dataValidation type="list" sqref="O20">
      <x:formula1>"PENDING,MATCH,MISMATCH"</x:formula1>
    </x:dataValidation>
    <x:dataValidation type="list" sqref="L21">
      <x:formula1>"PENDING,APPROVE,REJECT"</x:formula1>
    </x:dataValidation>
    <x:dataValidation type="list" sqref="M21">
      <x:formula1>"PENDING,APPROVE,REJECT"</x:formula1>
    </x:dataValidation>
    <x:dataValidation type="list" sqref="N21">
      <x:formula1>"NO,YES"</x:formula1>
    </x:dataValidation>
    <x:dataValidation type="list" sqref="O21">
      <x:formula1>"PENDING,MATCH,MISMATCH"</x:formula1>
    </x:dataValidation>
    <x:dataValidation type="list" sqref="L22">
      <x:formula1>"PENDING,APPROVE,REJECT"</x:formula1>
    </x:dataValidation>
    <x:dataValidation type="list" sqref="M22">
      <x:formula1>"PENDING,APPROVE,REJECT"</x:formula1>
    </x:dataValidation>
    <x:dataValidation type="list" sqref="N22">
      <x:formula1>"NO,YES"</x:formula1>
    </x:dataValidation>
    <x:dataValidation type="list" sqref="O22">
      <x:formula1>"PENDING,MATCH,MISMATCH"</x:formula1>
    </x:dataValidation>
    <x:dataValidation type="list" sqref="L23">
      <x:formula1>"PENDING,APPROVE,REJECT"</x:formula1>
    </x:dataValidation>
    <x:dataValidation type="list" sqref="M23">
      <x:formula1>"PENDING,APPROVE,REJECT"</x:formula1>
    </x:dataValidation>
    <x:dataValidation type="list" sqref="N23">
      <x:formula1>"NO,YES"</x:formula1>
    </x:dataValidation>
    <x:dataValidation type="list" sqref="O23">
      <x:formula1>"PENDING,MATCH,MISMATCH"</x:formula1>
    </x:dataValidation>
    <x:dataValidation type="list" sqref="L24">
      <x:formula1>"PENDING,APPROVE,REJECT"</x:formula1>
    </x:dataValidation>
    <x:dataValidation type="list" sqref="M24">
      <x:formula1>"PENDING,APPROVE,REJECT"</x:formula1>
    </x:dataValidation>
    <x:dataValidation type="list" sqref="N24">
      <x:formula1>"NO,YES"</x:formula1>
    </x:dataValidation>
    <x:dataValidation type="list" sqref="O24">
      <x:formula1>"PENDING,MATCH,MISMATCH"</x:formula1>
    </x:dataValidation>
    <x:dataValidation type="list" sqref="L25">
      <x:formula1>"PENDING,APPROVE,REJECT"</x:formula1>
    </x:dataValidation>
    <x:dataValidation type="list" sqref="M25">
      <x:formula1>"PENDING,APPROVE,REJECT"</x:formula1>
    </x:dataValidation>
    <x:dataValidation type="list" sqref="N25">
      <x:formula1>"NO,YES"</x:formula1>
    </x:dataValidation>
    <x:dataValidation type="list" sqref="O25">
      <x:formula1>"PENDING,MATCH,MISMATCH"</x:formula1>
    </x:dataValidation>
    <x:dataValidation type="list" sqref="L26">
      <x:formula1>"PENDING,APPROVE,REJECT"</x:formula1>
    </x:dataValidation>
    <x:dataValidation type="list" sqref="M26">
      <x:formula1>"PENDING,APPROVE,REJECT"</x:formula1>
    </x:dataValidation>
    <x:dataValidation type="list" sqref="N26">
      <x:formula1>"NO,YES"</x:formula1>
    </x:dataValidation>
    <x:dataValidation type="list" sqref="O26">
      <x:formula1>"PENDING,MATCH,MISMATCH"</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2" max="2" width="32" hidden="0" customWidth="1"/>
    <x:col min="3" max="3" width="20" hidden="0" customWidth="1"/>
    <x:col min="4" max="4" width="12" hidden="0" customWidth="1"/>
    <x:col min="5" max="5" width="44" hidden="0" customWidth="1"/>
    <x:col min="6" max="6" width="12" hidden="0" customWidth="1"/>
    <x:col min="8" max="8" width="25" hidden="0" customWidth="1"/>
    <x:col min="9" max="9" width="14" hidden="0" customWidth="1"/>
    <x:col min="13" max="13" width="18" hidden="0" customWidth="1"/>
    <x:col min="14" max="14" width="42" hidden="0" customWidth="1"/>
    <x:col min="15" max="15" width="16" hidden="0" customWidth="1"/>
    <x:col min="16" max="16" width="16" hidden="0" customWidth="1"/>
    <x:col min="17" max="17" width="12" hidden="0" customWidth="1"/>
    <x:col min="18" max="18" width="12" hidden="0" customWidth="1"/>
  </x:cols>
  <x:sheetData>
    <x:row r="1">
      <x:c r="B1" s="140"/>
      <x:c r="C1" s="140"/>
      <x:c r="D1" s="140"/>
      <x:c r="E1" s="140"/>
      <x:c r="F1" s="140"/>
      <x:c r="G1" s="140"/>
      <x:c r="H1" s="140"/>
      <x:c r="I1" s="140"/>
      <x:c r="J1" s="140"/>
      <x:c r="K1" s="140"/>
      <x:c r="L1" s="140"/>
      <x:c r="M1" s="140"/>
      <x:c r="N1" s="140"/>
      <x:c r="O1" s="140"/>
      <x:c r="P1" s="140"/>
      <x:c r="Q1" s="140"/>
      <x:c r="R1" s="140"/>
    </x:row>
    <x:row r="2" ht="28" customHeight="1">
      <x:c r="B2" s="514" t="str">
        <x:v>FOUNDATION / SOIL STABILITY ENGINE — SERVICE DESIGN SCREEN</x:v>
      </x:c>
      <x:c r="C2" s="514"/>
      <x:c r="D2" s="514"/>
      <x:c r="E2" s="514"/>
      <x:c r="F2" s="514"/>
      <x:c r="G2" s="514"/>
      <x:c r="H2" s="514"/>
      <x:c r="I2" s="514"/>
      <x:c r="J2" s="514"/>
      <x:c r="K2" s="140"/>
      <x:c r="L2" s="140"/>
      <x:c r="M2" s="473" t="str">
        <x:v>LOCKED MATH QA BENCHMARKS</x:v>
      </x:c>
      <x:c r="N2" s="473"/>
      <x:c r="O2" s="473"/>
      <x:c r="P2" s="473"/>
      <x:c r="Q2" s="473"/>
      <x:c r="R2" s="473"/>
    </x:row>
    <x:row r="3">
      <x:c r="B3" s="140"/>
      <x:c r="C3" s="140"/>
      <x:c r="D3" s="140"/>
      <x:c r="E3" s="140"/>
      <x:c r="F3" s="140"/>
      <x:c r="G3" s="140"/>
      <x:c r="H3" s="140"/>
      <x:c r="I3" s="140"/>
      <x:c r="J3" s="140"/>
      <x:c r="K3" s="140"/>
      <x:c r="L3" s="140"/>
      <x:c r="M3" s="480" t="str">
        <x:v>Test</x:v>
      </x:c>
      <x:c r="N3" s="480" t="str">
        <x:v>Inputs</x:v>
      </x:c>
      <x:c r="O3" s="480" t="str">
        <x:v>Expected</x:v>
      </x:c>
      <x:c r="P3" s="480" t="str">
        <x:v>Workbook</x:v>
      </x:c>
      <x:c r="Q3" s="480" t="str">
        <x:v>Abs Diff</x:v>
      </x:c>
      <x:c r="R3" s="480" t="str">
        <x:v>Status</x:v>
      </x:c>
    </x:row>
    <x:row r="4" ht="58" customHeight="1">
      <x:c r="B4" s="517" t="str">
        <x:v>Scope: spread-footing service bearing, eccentricity/full-contact, sliding, and overturning screens using source-controlled geotechnical values. Site Class is NOT used as a substitute for allowable bearing, friction, settlement, or other geotechnical parameters. Reinforced-concrete strength/detailing remains tied to the project ACI/code calculation source and review status.</x:v>
      </x:c>
      <x:c r="C4" s="517"/>
      <x:c r="D4" s="517"/>
      <x:c r="E4" s="517"/>
      <x:c r="F4" s="517"/>
      <x:c r="G4" s="517"/>
      <x:c r="H4" s="517"/>
      <x:c r="I4" s="517"/>
      <x:c r="J4" s="517"/>
      <x:c r="K4" s="140"/>
      <x:c r="L4" s="140"/>
      <x:c r="M4" s="152" t="str">
        <x:v>FDN-QA-01</x:v>
      </x:c>
      <x:c r="N4" s="152" t="str">
        <x:v>Area B=4,L=5</x:v>
      </x:c>
      <x:c r="O4" s="415" t="n">
        <x:v>20</x:v>
      </x:c>
      <x:c r="P4" s="415" t="n">
        <x:f>4*5</x:f>
        <x:v>20</x:v>
      </x:c>
      <x:c r="Q4" s="415" t="n">
        <x:f>ABS(O4-P4)</x:f>
        <x:v>0</x:v>
      </x:c>
      <x:c r="R4" s="152" t="str">
        <x:f>IF(Q4&lt;1E-9,"PASS","FAIL")</x:f>
        <x:v>PASS</x:v>
      </x:c>
    </x:row>
    <x:row r="5">
      <x:c r="B5" s="140"/>
      <x:c r="C5" s="140"/>
      <x:c r="D5" s="140"/>
      <x:c r="E5" s="140"/>
      <x:c r="F5" s="140"/>
      <x:c r="G5" s="140"/>
      <x:c r="H5" s="140"/>
      <x:c r="I5" s="140"/>
      <x:c r="J5" s="140"/>
      <x:c r="K5" s="140"/>
      <x:c r="L5" s="140"/>
      <x:c r="M5" s="152" t="str">
        <x:v>FDN-QA-02</x:v>
      </x:c>
      <x:c r="N5" s="152" t="str">
        <x:v>Self wt B4×L5×t12in×150pcf</x:v>
      </x:c>
      <x:c r="O5" s="415" t="n">
        <x:v>3</x:v>
      </x:c>
      <x:c r="P5" s="415" t="n">
        <x:f>4*5*(12/12)*150/1000</x:f>
        <x:v>3</x:v>
      </x:c>
      <x:c r="Q5" s="415" t="n">
        <x:f>ABS(O5-P5)</x:f>
        <x:v>0</x:v>
      </x:c>
      <x:c r="R5" s="152" t="str">
        <x:f>IF(Q5&lt;1E-9,"PASS","FAIL")</x:f>
        <x:v>PASS</x:v>
      </x:c>
    </x:row>
    <x:row r="6">
      <x:c r="B6" s="473" t="str">
        <x:v>FOUNDATION / GEOTECHNICAL BASIS</x:v>
      </x:c>
      <x:c r="C6" s="473"/>
      <x:c r="D6" s="473"/>
      <x:c r="E6" s="473"/>
      <x:c r="F6" s="473"/>
      <x:c r="G6" s="140"/>
      <x:c r="H6" s="473" t="str">
        <x:v>MODULE STATUS</x:v>
      </x:c>
      <x:c r="I6" s="473"/>
      <x:c r="J6" s="473"/>
      <x:c r="K6" s="140"/>
      <x:c r="L6" s="140"/>
      <x:c r="M6" s="152" t="str">
        <x:v>FDN-QA-03</x:v>
      </x:c>
      <x:c r="N6" s="152" t="str">
        <x:v>Eccentricity M=12,Ptotal=43</x:v>
      </x:c>
      <x:c r="O6" s="415" t="n">
        <x:v>0.27906976744186046</x:v>
      </x:c>
      <x:c r="P6" s="415" t="n">
        <x:f>12/43</x:f>
        <x:v>0.27906976744186046</x:v>
      </x:c>
      <x:c r="Q6" s="415" t="n">
        <x:f>ABS(O6-P6)</x:f>
        <x:v>0</x:v>
      </x:c>
      <x:c r="R6" s="152" t="str">
        <x:f>IF(Q6&lt;1E-9,"PASS","FAIL")</x:f>
        <x:v>PASS</x:v>
      </x:c>
    </x:row>
    <x:row r="7">
      <x:c r="B7" s="480" t="str">
        <x:v>Parameter</x:v>
      </x:c>
      <x:c r="C7" s="480" t="str">
        <x:v>Value</x:v>
      </x:c>
      <x:c r="D7" s="480" t="str">
        <x:v>Unit</x:v>
      </x:c>
      <x:c r="E7" s="480" t="str">
        <x:v>Source / Basis</x:v>
      </x:c>
      <x:c r="F7" s="480" t="str">
        <x:v>Status</x:v>
      </x:c>
      <x:c r="G7" s="140"/>
      <x:c r="H7" s="480" t="str">
        <x:v>Input Completeness</x:v>
      </x:c>
      <x:c r="I7" s="480" t="str">
        <x:f>IF(COUNTIF(F8:F29,"MISSING")=0,"READY","PENDING")</x:f>
        <x:v>PENDING</x:v>
      </x:c>
      <x:c r="J7" s="140"/>
      <x:c r="K7" s="140"/>
      <x:c r="L7" s="140"/>
      <x:c r="M7" s="152" t="str">
        <x:v>FDN-QA-04</x:v>
      </x:c>
      <x:c r="N7" s="152" t="str">
        <x:v>qavg 43/20</x:v>
      </x:c>
      <x:c r="O7" s="415" t="n">
        <x:v>2.15</x:v>
      </x:c>
      <x:c r="P7" s="415" t="n">
        <x:f>43/20</x:f>
        <x:v>2.15</x:v>
      </x:c>
      <x:c r="Q7" s="415" t="n">
        <x:f>ABS(O7-P7)</x:f>
        <x:v>0</x:v>
      </x:c>
      <x:c r="R7" s="152" t="str">
        <x:f>IF(Q7&lt;1E-9,"PASS","FAIL")</x:f>
        <x:v>PASS</x:v>
      </x:c>
    </x:row>
    <x:row r="8">
      <x:c r="B8" s="152" t="str">
        <x:v>Foundation Mark</x:v>
      </x:c>
      <x:c r="C8" s="152" t="str">
        <x:f>IF('01_INPUTS'!C279="","",'01_INPUTS'!C279)</x:f>
      </x:c>
      <x:c r="D8" s="152" t="str"/>
      <x:c r="E8" s="152" t="str">
        <x:v>Object model / CAD</x:v>
      </x:c>
      <x:c r="F8" s="152" t="str">
        <x:f>IF(C8="","MISSING","OK")</x:f>
        <x:v>MISSING</x:v>
      </x:c>
      <x:c r="G8" s="140"/>
      <x:c r="H8" s="480" t="str">
        <x:v>Full Soil Contact</x:v>
      </x:c>
      <x:c r="I8" s="480" t="str">
        <x:f>IF(C39="","PENDING",C39)</x:f>
        <x:v>PENDING</x:v>
      </x:c>
      <x:c r="J8" s="140"/>
      <x:c r="K8" s="140"/>
      <x:c r="L8" s="140"/>
      <x:c r="M8" s="152" t="str">
        <x:v>FDN-QA-05</x:v>
      </x:c>
      <x:c r="N8" s="152" t="str">
        <x:v>qmax full contact</x:v>
      </x:c>
      <x:c r="O8" s="415" t="n">
        <x:v>3.05</x:v>
      </x:c>
      <x:c r="P8" s="415" t="n">
        <x:f>(43/20)*(1+6*(12/43)/4)</x:f>
        <x:v>3.0499999999999994</x:v>
      </x:c>
      <x:c r="Q8" s="415" t="n">
        <x:f>ABS(O8-P8)</x:f>
        <x:v>4.440892098500626e-16</x:v>
      </x:c>
      <x:c r="R8" s="152" t="str">
        <x:f>IF(Q8&lt;1E-9,"PASS","FAIL")</x:f>
        <x:v>PASS</x:v>
      </x:c>
    </x:row>
    <x:row r="9">
      <x:c r="B9" s="152" t="str">
        <x:v>Foundation Type</x:v>
      </x:c>
      <x:c r="C9" s="152" t="str">
        <x:f>IF('01_INPUTS'!C280="","",'01_INPUTS'!C280)</x:f>
      </x:c>
      <x:c r="D9" s="152" t="str"/>
      <x:c r="E9" s="152" t="str">
        <x:v>00_COVER / object definition</x:v>
      </x:c>
      <x:c r="F9" s="152" t="str">
        <x:f>IF(C9="","MISSING","OK")</x:f>
        <x:v>MISSING</x:v>
      </x:c>
      <x:c r="G9" s="140"/>
      <x:c r="H9" s="480" t="str">
        <x:v>Bearing</x:v>
      </x:c>
      <x:c r="I9" s="480" t="str">
        <x:f>IF(C43="","PENDING",IF(C43&lt;=1,"PASS","FAIL"))</x:f>
        <x:v>PENDING</x:v>
      </x:c>
      <x:c r="J9" s="140"/>
      <x:c r="K9" s="140"/>
      <x:c r="L9" s="140"/>
      <x:c r="M9" s="152" t="str">
        <x:v>FDN-QA-06</x:v>
      </x:c>
      <x:c r="N9" s="152" t="str">
        <x:v>qmin full contact</x:v>
      </x:c>
      <x:c r="O9" s="415" t="n">
        <x:v>1.25</x:v>
      </x:c>
      <x:c r="P9" s="415" t="n">
        <x:f>(43/20)*(1-6*(12/43)/4)</x:f>
        <x:v>1.25</x:v>
      </x:c>
      <x:c r="Q9" s="415" t="n">
        <x:f>ABS(O9-P9)</x:f>
        <x:v>0</x:v>
      </x:c>
      <x:c r="R9" s="152" t="str">
        <x:f>IF(Q9&lt;1E-9,"PASS","FAIL")</x:f>
        <x:v>PASS</x:v>
      </x:c>
    </x:row>
    <x:row r="10">
      <x:c r="B10" s="152" t="str">
        <x:v>Service Vertical P</x:v>
      </x:c>
      <x:c r="C10" s="152" t="str">
        <x:f>IF('01_INPUTS'!C281="","",'01_INPUTS'!C281)</x:f>
      </x:c>
      <x:c r="D10" s="152" t="str">
        <x:v>kips</x:v>
      </x:c>
      <x:c r="E10" s="152" t="str">
        <x:v>Load path</x:v>
      </x:c>
      <x:c r="F10" s="152" t="str">
        <x:f>IF(C10="","MISSING","OK")</x:f>
        <x:v>MISSING</x:v>
      </x:c>
      <x:c r="G10" s="140"/>
      <x:c r="H10" s="480" t="str">
        <x:v>Sliding</x:v>
      </x:c>
      <x:c r="I10" s="480" t="str">
        <x:f>IF(C46="","PENDING",IF(C46&gt;=C22,"PASS","FAIL"))</x:f>
        <x:v>PENDING</x:v>
      </x:c>
      <x:c r="J10" s="140"/>
      <x:c r="K10" s="140"/>
      <x:c r="L10" s="140"/>
      <x:c r="M10" s="152" t="str">
        <x:v>FDN-QA-07</x:v>
      </x:c>
      <x:c r="N10" s="152" t="str">
        <x:v>Sliding FS μ=.4,P=43,H=6</x:v>
      </x:c>
      <x:c r="O10" s="415" t="n">
        <x:v>2.8666666666666667</x:v>
      </x:c>
      <x:c r="P10" s="415" t="n">
        <x:f>(0.4*43)/6</x:f>
        <x:v>2.8666666666666667</x:v>
      </x:c>
      <x:c r="Q10" s="415" t="n">
        <x:f>ABS(O10-P10)</x:f>
        <x:v>0</x:v>
      </x:c>
      <x:c r="R10" s="152" t="str">
        <x:f>IF(Q10&lt;1E-9,"PASS","FAIL")</x:f>
        <x:v>PASS</x:v>
      </x:c>
    </x:row>
    <x:row r="11">
      <x:c r="B11" s="152" t="str">
        <x:v>Service Horizontal H</x:v>
      </x:c>
      <x:c r="C11" s="152" t="str">
        <x:f>IF('01_INPUTS'!C282="","",'01_INPUTS'!C282)</x:f>
      </x:c>
      <x:c r="D11" s="152" t="str">
        <x:v>kips</x:v>
      </x:c>
      <x:c r="E11" s="152" t="str">
        <x:v>Load path</x:v>
      </x:c>
      <x:c r="F11" s="152" t="str">
        <x:f>IF(C11="","MISSING","OK")</x:f>
        <x:v>MISSING</x:v>
      </x:c>
      <x:c r="G11" s="140"/>
      <x:c r="H11" s="480" t="str">
        <x:v>Overturning</x:v>
      </x:c>
      <x:c r="I11" s="480" t="str">
        <x:f>IF(C47="","PENDING",IF(C47&gt;=C23,"PASS","FAIL"))</x:f>
        <x:v>PENDING</x:v>
      </x:c>
      <x:c r="J11" s="140"/>
      <x:c r="K11" s="140"/>
      <x:c r="L11" s="140"/>
      <x:c r="M11" s="152" t="str">
        <x:v>FDN-QA-08</x:v>
      </x:c>
      <x:c r="N11" s="152" t="str">
        <x:v>Overturning FS</x:v>
      </x:c>
      <x:c r="O11" s="415" t="n">
        <x:v>7.166666666666667</x:v>
      </x:c>
      <x:c r="P11" s="415" t="n">
        <x:f>(43*4/2)/12</x:f>
        <x:v>7.166666666666667</x:v>
      </x:c>
      <x:c r="Q11" s="415" t="n">
        <x:f>ABS(O11-P11)</x:f>
        <x:v>0</x:v>
      </x:c>
      <x:c r="R11" s="152" t="str">
        <x:f>IF(Q11&lt;1E-9,"PASS","FAIL")</x:f>
        <x:v>PASS</x:v>
      </x:c>
    </x:row>
    <x:row r="12">
      <x:c r="B12" s="152" t="str">
        <x:v>Service Moment M</x:v>
      </x:c>
      <x:c r="C12" s="152" t="str">
        <x:f>IF('01_INPUTS'!C283="","",'01_INPUTS'!C283)</x:f>
      </x:c>
      <x:c r="D12" s="152" t="str">
        <x:v>kip-ft</x:v>
      </x:c>
      <x:c r="E12" s="152" t="str">
        <x:v>Load path</x:v>
      </x:c>
      <x:c r="F12" s="152" t="str">
        <x:f>IF(C12="","MISSING","OK")</x:f>
        <x:v>MISSING</x:v>
      </x:c>
      <x:c r="G12" s="140"/>
      <x:c r="H12" s="480" t="str">
        <x:v>Concrete / Reinforcement</x:v>
      </x:c>
      <x:c r="I12" s="480" t="str">
        <x:f>IF(C26="REVIEWED","REVIEWED","PENDING")</x:f>
        <x:v>PENDING</x:v>
      </x:c>
      <x:c r="J12" s="140"/>
      <x:c r="K12" s="140"/>
      <x:c r="L12" s="140"/>
      <x:c r="M12" s="152"/>
      <x:c r="N12" s="152"/>
      <x:c r="O12" s="152"/>
      <x:c r="P12" s="152"/>
      <x:c r="Q12" s="152"/>
      <x:c r="R12" s="152"/>
    </x:row>
    <x:row r="13">
      <x:c r="B13" s="152" t="str">
        <x:v>Footing Width B</x:v>
      </x:c>
      <x:c r="C13" s="152" t="str">
        <x:f>IF('01_INPUTS'!C284="","",'01_INPUTS'!C284)</x:f>
      </x:c>
      <x:c r="D13" s="152" t="str">
        <x:v>ft</x:v>
      </x:c>
      <x:c r="E13" s="152" t="str">
        <x:v>Object geometry</x:v>
      </x:c>
      <x:c r="F13" s="152" t="str">
        <x:f>IF(C13="","MISSING","OK")</x:f>
        <x:v>MISSING</x:v>
      </x:c>
      <x:c r="G13" s="140"/>
      <x:c r="H13" s="480" t="str">
        <x:v>Math Cross-Checks</x:v>
      </x:c>
      <x:c r="I13" s="480" t="str">
        <x:f>IF(R13="PASS","PASS","CHECK")</x:f>
        <x:v>PASS</x:v>
      </x:c>
      <x:c r="J13" s="140"/>
      <x:c r="K13" s="140"/>
      <x:c r="L13" s="140"/>
      <x:c r="M13" s="152" t="str">
        <x:v>Benchmark Overall</x:v>
      </x:c>
      <x:c r="N13" s="152" t="str"/>
      <x:c r="O13" s="152" t="str"/>
      <x:c r="P13" s="152" t="str"/>
      <x:c r="Q13" s="152" t="str"/>
      <x:c r="R13" s="152" t="str">
        <x:f>IF(COUNTIF(R4:R11,"FAIL")=0,"PASS","FAIL")</x:f>
        <x:v>PASS</x:v>
      </x:c>
    </x:row>
    <x:row r="14">
      <x:c r="B14" s="152" t="str">
        <x:v>Footing Length L</x:v>
      </x:c>
      <x:c r="C14" s="152" t="str">
        <x:f>IF('01_INPUTS'!C285="","",'01_INPUTS'!C285)</x:f>
      </x:c>
      <x:c r="D14" s="152" t="str">
        <x:v>ft</x:v>
      </x:c>
      <x:c r="E14" s="152" t="str">
        <x:v>Object geometry</x:v>
      </x:c>
      <x:c r="F14" s="152" t="str">
        <x:f>IF(C14="","MISSING","OK")</x:f>
        <x:v>MISSING</x:v>
      </x:c>
      <x:c r="G14" s="140"/>
      <x:c r="H14" s="480" t="str">
        <x:v>Overall</x:v>
      </x:c>
      <x:c r="I14" s="480" t="str">
        <x:f>IF(OR(I7="PENDING",I8="PENDING",I9="PENDING",I10="PENDING",I11="PENDING",I12="PENDING"),"PENDING",IF(OR(I8="FAIL",I9="FAIL",I10="FAIL",I11="FAIL"),"FAIL","REVIEW"))</x:f>
        <x:v>PENDING</x:v>
      </x:c>
      <x:c r="J14" s="140"/>
      <x:c r="K14" s="140"/>
      <x:c r="L14" s="140"/>
      <x:c r="M14" s="140"/>
      <x:c r="N14" s="140"/>
      <x:c r="O14" s="140"/>
      <x:c r="P14" s="140"/>
      <x:c r="Q14" s="140"/>
      <x:c r="R14" s="140"/>
    </x:row>
    <x:row r="15">
      <x:c r="B15" s="152" t="str">
        <x:v>Footing Thickness t</x:v>
      </x:c>
      <x:c r="C15" s="152" t="str">
        <x:f>IF('01_INPUTS'!C286="","",'01_INPUTS'!C286)</x:f>
      </x:c>
      <x:c r="D15" s="152" t="str">
        <x:v>in</x:v>
      </x:c>
      <x:c r="E15" s="152" t="str">
        <x:v>Object geometry</x:v>
      </x:c>
      <x:c r="F15" s="152" t="str">
        <x:f>IF(C15="","MISSING","OK")</x:f>
        <x:v>MISSING</x:v>
      </x:c>
      <x:c r="G15" s="140"/>
      <x:c r="H15" s="140"/>
      <x:c r="I15" s="140"/>
      <x:c r="J15" s="140"/>
      <x:c r="K15" s="140"/>
      <x:c r="L15" s="140"/>
      <x:c r="M15" s="140"/>
      <x:c r="N15" s="140"/>
      <x:c r="O15" s="140"/>
      <x:c r="P15" s="140"/>
      <x:c r="Q15" s="140"/>
      <x:c r="R15" s="140"/>
    </x:row>
    <x:row r="16">
      <x:c r="B16" s="152" t="str">
        <x:v>Column/Post Width cB</x:v>
      </x:c>
      <x:c r="C16" s="152" t="str">
        <x:f>IF('01_INPUTS'!C287="","",'01_INPUTS'!C287)</x:f>
      </x:c>
      <x:c r="D16" s="152" t="str">
        <x:v>in</x:v>
      </x:c>
      <x:c r="E16" s="152" t="str">
        <x:v>Object geometry</x:v>
      </x:c>
      <x:c r="F16" s="152" t="str">
        <x:f>IF(C16="","MISSING","OK")</x:f>
        <x:v>MISSING</x:v>
      </x:c>
      <x:c r="G16" s="140"/>
      <x:c r="H16" s="140"/>
      <x:c r="I16" s="140"/>
      <x:c r="J16" s="140"/>
      <x:c r="K16" s="140"/>
      <x:c r="L16" s="140"/>
      <x:c r="M16" s="140"/>
      <x:c r="N16" s="140"/>
      <x:c r="O16" s="140"/>
      <x:c r="P16" s="140"/>
      <x:c r="Q16" s="140"/>
      <x:c r="R16" s="140"/>
    </x:row>
    <x:row r="17">
      <x:c r="B17" s="152" t="str">
        <x:v>Column/Post Length cL</x:v>
      </x:c>
      <x:c r="C17" s="152" t="str">
        <x:f>IF('01_INPUTS'!C288="","",'01_INPUTS'!C288)</x:f>
      </x:c>
      <x:c r="D17" s="152" t="str">
        <x:v>in</x:v>
      </x:c>
      <x:c r="E17" s="152" t="str">
        <x:v>Object geometry</x:v>
      </x:c>
      <x:c r="F17" s="152" t="str">
        <x:f>IF(C17="","MISSING","OK")</x:f>
        <x:v>MISSING</x:v>
      </x:c>
      <x:c r="G17" s="140"/>
      <x:c r="H17" s="140"/>
      <x:c r="I17" s="140"/>
      <x:c r="J17" s="140"/>
      <x:c r="K17" s="140"/>
      <x:c r="L17" s="140"/>
      <x:c r="M17" s="140"/>
      <x:c r="N17" s="140"/>
      <x:c r="O17" s="140"/>
      <x:c r="P17" s="140"/>
      <x:c r="Q17" s="140"/>
      <x:c r="R17" s="140"/>
    </x:row>
    <x:row r="18">
      <x:c r="B18" s="152" t="str">
        <x:v>Concrete Unit Weight</x:v>
      </x:c>
      <x:c r="C18" s="152" t="str">
        <x:f>IF('01_INPUTS'!C289="","",'01_INPUTS'!C289)</x:f>
      </x:c>
      <x:c r="D18" s="152" t="str">
        <x:v>pcf</x:v>
      </x:c>
      <x:c r="E18" s="152" t="str">
        <x:v>Material source</x:v>
      </x:c>
      <x:c r="F18" s="152" t="str">
        <x:f>IF(C18="","MISSING","OK")</x:f>
        <x:v>MISSING</x:v>
      </x:c>
      <x:c r="G18" s="140"/>
      <x:c r="H18" s="140"/>
      <x:c r="I18" s="140"/>
      <x:c r="J18" s="140"/>
      <x:c r="K18" s="140"/>
      <x:c r="L18" s="140"/>
      <x:c r="M18" s="140"/>
      <x:c r="N18" s="140"/>
      <x:c r="O18" s="140"/>
      <x:c r="P18" s="140"/>
      <x:c r="Q18" s="140"/>
      <x:c r="R18" s="140"/>
    </x:row>
    <x:row r="19">
      <x:c r="B19" s="152" t="str">
        <x:v>Allowable Soil Bearing</x:v>
      </x:c>
      <x:c r="C19" s="152" t="str">
        <x:f>IF('01_INPUTS'!C290="","",'01_INPUTS'!C290)</x:f>
      </x:c>
      <x:c r="D19" s="152" t="str">
        <x:v>ksf</x:v>
      </x:c>
      <x:c r="E19" s="152" t="str">
        <x:v>Geotechnical / CBC basis</x:v>
      </x:c>
      <x:c r="F19" s="152" t="str">
        <x:f>IF(C19="","MISSING","OK")</x:f>
        <x:v>MISSING</x:v>
      </x:c>
      <x:c r="G19" s="140"/>
      <x:c r="H19" s="140"/>
      <x:c r="I19" s="140"/>
      <x:c r="J19" s="140"/>
      <x:c r="K19" s="140"/>
      <x:c r="L19" s="140"/>
      <x:c r="M19" s="140"/>
      <x:c r="N19" s="140"/>
      <x:c r="O19" s="140"/>
      <x:c r="P19" s="140"/>
      <x:c r="Q19" s="140"/>
      <x:c r="R19" s="140"/>
    </x:row>
    <x:row r="20">
      <x:c r="B20" s="152" t="str">
        <x:v>Friction Coefficient μ</x:v>
      </x:c>
      <x:c r="C20" s="152" t="str">
        <x:f>IF('01_INPUTS'!C291="","",'01_INPUTS'!C291)</x:f>
      </x:c>
      <x:c r="D20" s="152" t="str"/>
      <x:c r="E20" s="152" t="str">
        <x:v>Geotechnical / project basis</x:v>
      </x:c>
      <x:c r="F20" s="152" t="str">
        <x:f>IF(C20="","MISSING","OK")</x:f>
        <x:v>MISSING</x:v>
      </x:c>
      <x:c r="G20" s="140"/>
      <x:c r="H20" s="140"/>
      <x:c r="I20" s="140"/>
      <x:c r="J20" s="140"/>
      <x:c r="K20" s="140"/>
      <x:c r="L20" s="140"/>
      <x:c r="M20" s="140"/>
      <x:c r="N20" s="140"/>
      <x:c r="O20" s="140"/>
      <x:c r="P20" s="140"/>
      <x:c r="Q20" s="140"/>
      <x:c r="R20" s="140"/>
    </x:row>
    <x:row r="21">
      <x:c r="B21" s="152" t="str">
        <x:v>Passive/Other Sliding Resistance</x:v>
      </x:c>
      <x:c r="C21" s="152" t="str">
        <x:f>IF('01_INPUTS'!C292="","",'01_INPUTS'!C292)</x:f>
      </x:c>
      <x:c r="D21" s="152" t="str">
        <x:v>kips</x:v>
      </x:c>
      <x:c r="E21" s="152" t="str">
        <x:v>Geotechnical / project basis</x:v>
      </x:c>
      <x:c r="F21" s="152" t="str">
        <x:f>IF(C21="","MISSING","OK")</x:f>
        <x:v>MISSING</x:v>
      </x:c>
      <x:c r="G21" s="140"/>
      <x:c r="H21" s="140"/>
      <x:c r="I21" s="140"/>
      <x:c r="J21" s="140"/>
      <x:c r="K21" s="140"/>
      <x:c r="L21" s="140"/>
      <x:c r="M21" s="140"/>
      <x:c r="N21" s="140"/>
      <x:c r="O21" s="140"/>
      <x:c r="P21" s="140"/>
      <x:c r="Q21" s="140"/>
      <x:c r="R21" s="140"/>
    </x:row>
    <x:row r="22">
      <x:c r="B22" s="152" t="str">
        <x:v>Minimum Sliding FS</x:v>
      </x:c>
      <x:c r="C22" s="152" t="str">
        <x:f>IF('01_INPUTS'!C293="","",'01_INPUTS'!C293)</x:f>
      </x:c>
      <x:c r="D22" s="152" t="str"/>
      <x:c r="E22" s="152" t="str">
        <x:v>Project criterion</x:v>
      </x:c>
      <x:c r="F22" s="152" t="str">
        <x:f>IF(C22="","MISSING","OK")</x:f>
        <x:v>MISSING</x:v>
      </x:c>
      <x:c r="G22" s="140"/>
      <x:c r="H22" s="140"/>
      <x:c r="I22" s="140"/>
      <x:c r="J22" s="140"/>
      <x:c r="K22" s="140"/>
      <x:c r="L22" s="140"/>
      <x:c r="M22" s="140"/>
      <x:c r="N22" s="140"/>
      <x:c r="O22" s="140"/>
      <x:c r="P22" s="140"/>
      <x:c r="Q22" s="140"/>
      <x:c r="R22" s="140"/>
    </x:row>
    <x:row r="23">
      <x:c r="B23" s="152" t="str">
        <x:v>Minimum Overturning FS</x:v>
      </x:c>
      <x:c r="C23" s="152" t="str">
        <x:f>IF('01_INPUTS'!C294="","",'01_INPUTS'!C294)</x:f>
      </x:c>
      <x:c r="D23" s="152" t="str"/>
      <x:c r="E23" s="152" t="str">
        <x:v>Project criterion</x:v>
      </x:c>
      <x:c r="F23" s="152" t="str">
        <x:f>IF(C23="","MISSING","OK")</x:f>
        <x:v>MISSING</x:v>
      </x:c>
      <x:c r="G23" s="140"/>
      <x:c r="H23" s="140"/>
      <x:c r="I23" s="140"/>
      <x:c r="J23" s="140"/>
      <x:c r="K23" s="140"/>
      <x:c r="L23" s="140"/>
      <x:c r="M23" s="140"/>
      <x:c r="N23" s="140"/>
      <x:c r="O23" s="140"/>
      <x:c r="P23" s="140"/>
      <x:c r="Q23" s="140"/>
      <x:c r="R23" s="140"/>
    </x:row>
    <x:row r="24">
      <x:c r="B24" s="152" t="str">
        <x:v>Concrete f'c</x:v>
      </x:c>
      <x:c r="C24" s="152" t="str">
        <x:f>IF('01_INPUTS'!C295="","",'01_INPUTS'!C295)</x:f>
      </x:c>
      <x:c r="D24" s="152" t="str">
        <x:v>psi</x:v>
      </x:c>
      <x:c r="E24" s="152" t="str">
        <x:v>Concrete design source</x:v>
      </x:c>
      <x:c r="F24" s="152" t="str">
        <x:f>IF(C24="","MISSING","OK")</x:f>
        <x:v>MISSING</x:v>
      </x:c>
      <x:c r="G24" s="140"/>
      <x:c r="H24" s="140"/>
      <x:c r="I24" s="140"/>
      <x:c r="J24" s="140"/>
      <x:c r="K24" s="140"/>
      <x:c r="L24" s="140"/>
      <x:c r="M24" s="140"/>
      <x:c r="N24" s="140"/>
      <x:c r="O24" s="140"/>
      <x:c r="P24" s="140"/>
      <x:c r="Q24" s="140"/>
      <x:c r="R24" s="140"/>
    </x:row>
    <x:row r="25">
      <x:c r="B25" s="152" t="str">
        <x:v>Steel fy</x:v>
      </x:c>
      <x:c r="C25" s="152" t="str">
        <x:f>IF('01_INPUTS'!C296="","",'01_INPUTS'!C296)</x:f>
      </x:c>
      <x:c r="D25" s="152" t="str">
        <x:v>psi</x:v>
      </x:c>
      <x:c r="E25" s="152" t="str">
        <x:v>Concrete design source</x:v>
      </x:c>
      <x:c r="F25" s="152" t="str">
        <x:f>IF(C25="","MISSING","OK")</x:f>
        <x:v>MISSING</x:v>
      </x:c>
      <x:c r="G25" s="140"/>
      <x:c r="H25" s="140"/>
      <x:c r="I25" s="140"/>
      <x:c r="J25" s="140"/>
      <x:c r="K25" s="140"/>
      <x:c r="L25" s="140"/>
      <x:c r="M25" s="140"/>
      <x:c r="N25" s="140"/>
      <x:c r="O25" s="140"/>
      <x:c r="P25" s="140"/>
      <x:c r="Q25" s="140"/>
      <x:c r="R25" s="140"/>
    </x:row>
    <x:row r="26">
      <x:c r="B26" s="152" t="str">
        <x:v>Concrete Design Status</x:v>
      </x:c>
      <x:c r="C26" s="152" t="str">
        <x:f>IF('01_INPUTS'!C297="","",'01_INPUTS'!C297)</x:f>
      </x:c>
      <x:c r="D26" s="152" t="str"/>
      <x:c r="E26" s="152" t="str">
        <x:v>Project concrete design</x:v>
      </x:c>
      <x:c r="F26" s="152" t="str">
        <x:f>IF(C26="","MISSING","OK")</x:f>
        <x:v>MISSING</x:v>
      </x:c>
      <x:c r="G26" s="140"/>
      <x:c r="H26" s="140"/>
      <x:c r="I26" s="140"/>
      <x:c r="J26" s="140"/>
      <x:c r="K26" s="140"/>
      <x:c r="L26" s="140"/>
      <x:c r="M26" s="140"/>
      <x:c r="N26" s="140"/>
      <x:c r="O26" s="140"/>
      <x:c r="P26" s="140"/>
      <x:c r="Q26" s="140"/>
      <x:c r="R26" s="140"/>
    </x:row>
    <x:row r="27">
      <x:c r="B27" s="152" t="str">
        <x:v>Geotechnical Source Record</x:v>
      </x:c>
      <x:c r="C27" s="152" t="str">
        <x:f>IF('01_INPUTS'!C298="","",'01_INPUTS'!C298)</x:f>
      </x:c>
      <x:c r="D27" s="152" t="str"/>
      <x:c r="E27" s="152" t="str">
        <x:v>Source register</x:v>
      </x:c>
      <x:c r="F27" s="152" t="str">
        <x:f>IF(C27="","MISSING","OK")</x:f>
        <x:v>MISSING</x:v>
      </x:c>
      <x:c r="G27" s="140"/>
      <x:c r="H27" s="140"/>
      <x:c r="I27" s="140"/>
      <x:c r="J27" s="140"/>
      <x:c r="K27" s="140"/>
      <x:c r="L27" s="140"/>
      <x:c r="M27" s="140"/>
      <x:c r="N27" s="140"/>
      <x:c r="O27" s="140"/>
      <x:c r="P27" s="140"/>
      <x:c r="Q27" s="140"/>
      <x:c r="R27" s="140"/>
    </x:row>
    <x:row r="28">
      <x:c r="B28" s="152" t="str">
        <x:v>Concrete Design Source Record</x:v>
      </x:c>
      <x:c r="C28" s="152" t="str">
        <x:f>IF('01_INPUTS'!C299="","",'01_INPUTS'!C299)</x:f>
      </x:c>
      <x:c r="D28" s="152" t="str"/>
      <x:c r="E28" s="152" t="str">
        <x:v>Source register</x:v>
      </x:c>
      <x:c r="F28" s="152" t="str">
        <x:f>IF(C28="","MISSING","OK")</x:f>
        <x:v>MISSING</x:v>
      </x:c>
      <x:c r="G28" s="140"/>
      <x:c r="H28" s="140"/>
      <x:c r="I28" s="140"/>
      <x:c r="J28" s="140"/>
      <x:c r="K28" s="140"/>
      <x:c r="L28" s="140"/>
      <x:c r="M28" s="140"/>
      <x:c r="N28" s="140"/>
      <x:c r="O28" s="140"/>
      <x:c r="P28" s="140"/>
      <x:c r="Q28" s="140"/>
      <x:c r="R28" s="140"/>
    </x:row>
    <x:row r="29">
      <x:c r="B29" s="152" t="str">
        <x:v>Review Notes</x:v>
      </x:c>
      <x:c r="C29" s="152" t="str">
        <x:f>IF('01_INPUTS'!C300="","",'01_INPUTS'!C300)</x:f>
      </x:c>
      <x:c r="D29" s="152" t="str"/>
      <x:c r="E29" s="152" t="str">
        <x:v>Engineer review</x:v>
      </x:c>
      <x:c r="F29" s="152" t="str">
        <x:f>IF(C29="","MISSING","OK")</x:f>
        <x:v>MISSING</x:v>
      </x:c>
      <x:c r="G29" s="140"/>
      <x:c r="H29" s="140"/>
      <x:c r="I29" s="140"/>
      <x:c r="J29" s="140"/>
      <x:c r="K29" s="140"/>
      <x:c r="L29" s="140"/>
      <x:c r="M29" s="140"/>
      <x:c r="N29" s="140"/>
      <x:c r="O29" s="140"/>
      <x:c r="P29" s="140"/>
      <x:c r="Q29" s="140"/>
      <x:c r="R29" s="140"/>
    </x:row>
    <x:row r="30">
      <x:c r="B30" s="140"/>
      <x:c r="C30" s="140"/>
      <x:c r="D30" s="140"/>
      <x:c r="E30" s="140"/>
      <x:c r="F30" s="140"/>
      <x:c r="G30" s="140"/>
      <x:c r="H30" s="140"/>
      <x:c r="I30" s="140"/>
      <x:c r="J30" s="140"/>
      <x:c r="K30" s="140"/>
      <x:c r="L30" s="140"/>
      <x:c r="M30" s="140"/>
      <x:c r="N30" s="140"/>
      <x:c r="O30" s="140"/>
      <x:c r="P30" s="140"/>
      <x:c r="Q30" s="140"/>
      <x:c r="R30" s="140"/>
    </x:row>
    <x:row r="31">
      <x:c r="B31" s="140"/>
      <x:c r="C31" s="140"/>
      <x:c r="D31" s="140"/>
      <x:c r="E31" s="140"/>
      <x:c r="F31" s="140"/>
      <x:c r="G31" s="140"/>
      <x:c r="H31" s="140"/>
      <x:c r="I31" s="140"/>
      <x:c r="J31" s="140"/>
      <x:c r="K31" s="140"/>
      <x:c r="L31" s="140"/>
      <x:c r="M31" s="140"/>
      <x:c r="N31" s="140"/>
      <x:c r="O31" s="140"/>
      <x:c r="P31" s="140"/>
      <x:c r="Q31" s="140"/>
      <x:c r="R31" s="140"/>
    </x:row>
    <x:row r="32">
      <x:c r="B32" s="473" t="str">
        <x:v>SOIL PRESSURE / STABILITY CHECK</x:v>
      </x:c>
      <x:c r="C32" s="473"/>
      <x:c r="D32" s="473"/>
      <x:c r="E32" s="473"/>
      <x:c r="F32" s="473"/>
      <x:c r="G32" s="140"/>
      <x:c r="H32" s="140"/>
      <x:c r="I32" s="140"/>
      <x:c r="J32" s="140"/>
      <x:c r="K32" s="140"/>
      <x:c r="L32" s="140"/>
      <x:c r="M32" s="140"/>
      <x:c r="N32" s="140"/>
      <x:c r="O32" s="140"/>
      <x:c r="P32" s="140"/>
      <x:c r="Q32" s="140"/>
      <x:c r="R32" s="140"/>
    </x:row>
    <x:row r="33">
      <x:c r="B33" s="480" t="str">
        <x:v>Check</x:v>
      </x:c>
      <x:c r="C33" s="480" t="str">
        <x:v>Result</x:v>
      </x:c>
      <x:c r="D33" s="480" t="str">
        <x:v>Unit</x:v>
      </x:c>
      <x:c r="E33" s="480" t="str">
        <x:v>Basis</x:v>
      </x:c>
      <x:c r="F33" s="140"/>
      <x:c r="G33" s="140"/>
      <x:c r="H33" s="140"/>
      <x:c r="I33" s="140"/>
      <x:c r="J33" s="140"/>
      <x:c r="K33" s="140"/>
      <x:c r="L33" s="140"/>
      <x:c r="M33" s="140"/>
      <x:c r="N33" s="140"/>
      <x:c r="O33" s="140"/>
      <x:c r="P33" s="140"/>
      <x:c r="Q33" s="140"/>
      <x:c r="R33" s="140"/>
    </x:row>
    <x:row r="34">
      <x:c r="B34" s="152" t="str">
        <x:v>Footing Area A</x:v>
      </x:c>
      <x:c r="C34" s="415" t="n">
        <x:f>IFERROR(C13*C14,"")</x:f>
        <x:v>0</x:v>
      </x:c>
      <x:c r="D34" s="152" t="str">
        <x:v>ft²</x:v>
      </x:c>
      <x:c r="E34" s="152" t="str">
        <x:v>B × L</x:v>
      </x:c>
      <x:c r="F34" s="140"/>
      <x:c r="G34" s="140"/>
      <x:c r="H34" s="140"/>
      <x:c r="I34" s="140"/>
      <x:c r="J34" s="140"/>
      <x:c r="K34" s="140"/>
      <x:c r="L34" s="140"/>
      <x:c r="M34" s="140"/>
      <x:c r="N34" s="140"/>
      <x:c r="O34" s="140"/>
      <x:c r="P34" s="140"/>
      <x:c r="Q34" s="140"/>
      <x:c r="R34" s="140"/>
    </x:row>
    <x:row r="35">
      <x:c r="B35" s="152" t="str">
        <x:v>Footing Self-Weight Wf</x:v>
      </x:c>
      <x:c r="C35" s="415" t="n">
        <x:f>IFERROR(C13*C14*(C15/12)*C18/1000,"")</x:f>
        <x:v>0</x:v>
      </x:c>
      <x:c r="D35" s="152" t="str">
        <x:v>kips</x:v>
      </x:c>
      <x:c r="E35" s="152" t="str">
        <x:v>B × L × t × γc</x:v>
      </x:c>
      <x:c r="F35" s="140"/>
      <x:c r="G35" s="140"/>
      <x:c r="H35" s="140"/>
      <x:c r="I35" s="140"/>
      <x:c r="J35" s="140"/>
      <x:c r="K35" s="140"/>
      <x:c r="L35" s="140"/>
      <x:c r="M35" s="140"/>
      <x:c r="N35" s="140"/>
      <x:c r="O35" s="140"/>
      <x:c r="P35" s="140"/>
      <x:c r="Q35" s="140"/>
      <x:c r="R35" s="140"/>
    </x:row>
    <x:row r="36">
      <x:c r="B36" s="152" t="str">
        <x:v>Total Service Vertical Ptotal</x:v>
      </x:c>
      <x:c r="C36" s="415" t="n">
        <x:f>IFERROR(C10+C35,"")</x:f>
        <x:v>0</x:v>
      </x:c>
      <x:c r="D36" s="152" t="str">
        <x:v>kips</x:v>
      </x:c>
      <x:c r="E36" s="152" t="str">
        <x:v>P + Wf</x:v>
      </x:c>
      <x:c r="F36" s="140"/>
      <x:c r="G36" s="140"/>
      <x:c r="H36" s="140"/>
      <x:c r="I36" s="140"/>
      <x:c r="J36" s="140"/>
      <x:c r="K36" s="140"/>
      <x:c r="L36" s="140"/>
      <x:c r="M36" s="140"/>
      <x:c r="N36" s="140"/>
      <x:c r="O36" s="140"/>
      <x:c r="P36" s="140"/>
      <x:c r="Q36" s="140"/>
      <x:c r="R36" s="140"/>
    </x:row>
    <x:row r="37">
      <x:c r="B37" s="152" t="str">
        <x:v>Eccentricity e</x:v>
      </x:c>
      <x:c r="C37" s="415" t="str">
        <x:f>IFERROR(ABS(C12)/C36,"")</x:f>
      </x:c>
      <x:c r="D37" s="152" t="str">
        <x:v>ft</x:v>
      </x:c>
      <x:c r="E37" s="152" t="str">
        <x:v>|M| / Ptotal</x:v>
      </x:c>
      <x:c r="F37" s="140"/>
      <x:c r="G37" s="140"/>
      <x:c r="H37" s="140"/>
      <x:c r="I37" s="140"/>
      <x:c r="J37" s="140"/>
      <x:c r="K37" s="140"/>
      <x:c r="L37" s="140"/>
      <x:c r="M37" s="140"/>
      <x:c r="N37" s="140"/>
      <x:c r="O37" s="140"/>
      <x:c r="P37" s="140"/>
      <x:c r="Q37" s="140"/>
      <x:c r="R37" s="140"/>
    </x:row>
    <x:row r="38">
      <x:c r="B38" s="152" t="str">
        <x:v>Middle-Third Limit B/6</x:v>
      </x:c>
      <x:c r="C38" s="415" t="n">
        <x:f>IFERROR(C13/6,"")</x:f>
        <x:v>0</x:v>
      </x:c>
      <x:c r="D38" s="152" t="str">
        <x:v>ft</x:v>
      </x:c>
      <x:c r="E38" s="152" t="str">
        <x:v>Full-contact screen</x:v>
      </x:c>
      <x:c r="F38" s="140"/>
      <x:c r="G38" s="140"/>
      <x:c r="H38" s="140"/>
      <x:c r="I38" s="140"/>
      <x:c r="J38" s="140"/>
      <x:c r="K38" s="140"/>
      <x:c r="L38" s="140"/>
      <x:c r="M38" s="140"/>
      <x:c r="N38" s="140"/>
      <x:c r="O38" s="140"/>
      <x:c r="P38" s="140"/>
      <x:c r="Q38" s="140"/>
      <x:c r="R38" s="140"/>
    </x:row>
    <x:row r="39">
      <x:c r="B39" s="152" t="str">
        <x:v>Full Soil Contact Status</x:v>
      </x:c>
      <x:c r="C39" s="415" t="str">
        <x:f>IF(C37="","",IF(C37&lt;=C38,"PASS","FAIL"))</x:f>
      </x:c>
      <x:c r="D39" s="152" t="str"/>
      <x:c r="E39" s="152" t="str">
        <x:v>e ≤ B/6</x:v>
      </x:c>
      <x:c r="F39" s="140"/>
      <x:c r="G39" s="140"/>
      <x:c r="H39" s="140"/>
      <x:c r="I39" s="140"/>
      <x:c r="J39" s="140"/>
      <x:c r="K39" s="140"/>
      <x:c r="L39" s="140"/>
      <x:c r="M39" s="140"/>
      <x:c r="N39" s="140"/>
      <x:c r="O39" s="140"/>
      <x:c r="P39" s="140"/>
      <x:c r="Q39" s="140"/>
      <x:c r="R39" s="140"/>
    </x:row>
    <x:row r="40">
      <x:c r="B40" s="152" t="str">
        <x:v>Average Soil Pressure qavg</x:v>
      </x:c>
      <x:c r="C40" s="415" t="str">
        <x:f>IFERROR(C36/(C13*C14),"")</x:f>
      </x:c>
      <x:c r="D40" s="152" t="str">
        <x:v>ksf</x:v>
      </x:c>
      <x:c r="E40" s="152" t="str">
        <x:v>Ptotal / A</x:v>
      </x:c>
      <x:c r="F40" s="140"/>
      <x:c r="G40" s="140"/>
      <x:c r="H40" s="140"/>
      <x:c r="I40" s="140"/>
      <x:c r="J40" s="140"/>
      <x:c r="K40" s="140"/>
      <x:c r="L40" s="140"/>
      <x:c r="M40" s="140"/>
      <x:c r="N40" s="140"/>
      <x:c r="O40" s="140"/>
      <x:c r="P40" s="140"/>
      <x:c r="Q40" s="140"/>
      <x:c r="R40" s="140"/>
    </x:row>
    <x:row r="41">
      <x:c r="B41" s="152" t="str">
        <x:v>Maximum Soil Pressure qmax</x:v>
      </x:c>
      <x:c r="C41" s="415" t="str">
        <x:f>IF(C39&lt;&gt;"PASS","",C40*(1+6*C37/C13))</x:f>
      </x:c>
      <x:c r="D41" s="152" t="str">
        <x:v>ksf</x:v>
      </x:c>
      <x:c r="E41" s="152" t="str">
        <x:v>Linear full-contact distribution</x:v>
      </x:c>
      <x:c r="F41" s="140"/>
      <x:c r="G41" s="140"/>
      <x:c r="H41" s="140"/>
      <x:c r="I41" s="140"/>
      <x:c r="J41" s="140"/>
      <x:c r="K41" s="140"/>
      <x:c r="L41" s="140"/>
      <x:c r="M41" s="140"/>
      <x:c r="N41" s="140"/>
      <x:c r="O41" s="140"/>
      <x:c r="P41" s="140"/>
      <x:c r="Q41" s="140"/>
      <x:c r="R41" s="140"/>
    </x:row>
    <x:row r="42">
      <x:c r="B42" s="152" t="str">
        <x:v>Minimum Soil Pressure qmin</x:v>
      </x:c>
      <x:c r="C42" s="415" t="str">
        <x:f>IF(C39&lt;&gt;"PASS","",C40*(1-6*C37/C13))</x:f>
      </x:c>
      <x:c r="D42" s="152" t="str">
        <x:v>ksf</x:v>
      </x:c>
      <x:c r="E42" s="152" t="str">
        <x:v>Linear full-contact distribution</x:v>
      </x:c>
      <x:c r="F42" s="140"/>
      <x:c r="G42" s="140"/>
      <x:c r="H42" s="140"/>
      <x:c r="I42" s="140"/>
      <x:c r="J42" s="140"/>
      <x:c r="K42" s="140"/>
      <x:c r="L42" s="140"/>
      <x:c r="M42" s="140"/>
      <x:c r="N42" s="140"/>
      <x:c r="O42" s="140"/>
      <x:c r="P42" s="140"/>
      <x:c r="Q42" s="140"/>
      <x:c r="R42" s="140"/>
    </x:row>
    <x:row r="43">
      <x:c r="B43" s="152" t="str">
        <x:v>Bearing Utilization D/C</x:v>
      </x:c>
      <x:c r="C43" s="415" t="str">
        <x:f>IFERROR(C41/C19,"")</x:f>
      </x:c>
      <x:c r="D43" s="152" t="str"/>
      <x:c r="E43" s="152" t="str">
        <x:v>qmax / qallow</x:v>
      </x:c>
      <x:c r="F43" s="140"/>
      <x:c r="G43" s="140"/>
      <x:c r="H43" s="140"/>
      <x:c r="I43" s="140"/>
      <x:c r="J43" s="140"/>
      <x:c r="K43" s="140"/>
      <x:c r="L43" s="140"/>
      <x:c r="M43" s="140"/>
      <x:c r="N43" s="140"/>
      <x:c r="O43" s="140"/>
      <x:c r="P43" s="140"/>
      <x:c r="Q43" s="140"/>
      <x:c r="R43" s="140"/>
    </x:row>
    <x:row r="44">
      <x:c r="B44" s="152" t="str">
        <x:v>Sliding Resistance</x:v>
      </x:c>
      <x:c r="C44" s="415" t="n">
        <x:f>IFERROR(C20*C36+C21,"")</x:f>
        <x:v>0</x:v>
      </x:c>
      <x:c r="D44" s="152" t="str">
        <x:v>kips</x:v>
      </x:c>
      <x:c r="E44" s="152" t="str">
        <x:v>μPtotal + permitted passive/other</x:v>
      </x:c>
      <x:c r="F44" s="140"/>
      <x:c r="G44" s="140"/>
      <x:c r="H44" s="140"/>
      <x:c r="I44" s="140"/>
      <x:c r="J44" s="140"/>
      <x:c r="K44" s="140"/>
      <x:c r="L44" s="140"/>
      <x:c r="M44" s="140"/>
      <x:c r="N44" s="140"/>
      <x:c r="O44" s="140"/>
      <x:c r="P44" s="140"/>
      <x:c r="Q44" s="140"/>
      <x:c r="R44" s="140"/>
    </x:row>
    <x:row r="45">
      <x:c r="B45" s="152" t="str">
        <x:v>Sliding Factor of Safety</x:v>
      </x:c>
      <x:c r="C45" s="415" t="str">
        <x:f>IF(C11="","",IF(C11=0,"N/A",C44/ABS(C11)))</x:f>
      </x:c>
      <x:c r="D45" s="152" t="str"/>
      <x:c r="E45" s="152" t="str">
        <x:v>Resistance / H</x:v>
      </x:c>
      <x:c r="F45" s="140"/>
      <x:c r="G45" s="140"/>
      <x:c r="H45" s="140"/>
      <x:c r="I45" s="140"/>
      <x:c r="J45" s="140"/>
      <x:c r="K45" s="140"/>
      <x:c r="L45" s="140"/>
      <x:c r="M45" s="140"/>
      <x:c r="N45" s="140"/>
      <x:c r="O45" s="140"/>
      <x:c r="P45" s="140"/>
      <x:c r="Q45" s="140"/>
      <x:c r="R45" s="140"/>
    </x:row>
    <x:row r="46">
      <x:c r="B46" s="152" t="str">
        <x:v>Overturning Factor of Safety</x:v>
      </x:c>
      <x:c r="C46" s="415" t="str">
        <x:f>IF(C12="","",IF(C12=0,"N/A",(C36*C13/2)/ABS(C12)))</x:f>
      </x:c>
      <x:c r="D46" s="152" t="str"/>
      <x:c r="E46" s="152" t="str">
        <x:v>Vertical restoring moment / applied moment</x:v>
      </x:c>
      <x:c r="F46" s="140"/>
      <x:c r="G46" s="140"/>
      <x:c r="H46" s="140"/>
      <x:c r="I46" s="140"/>
      <x:c r="J46" s="140"/>
      <x:c r="K46" s="140"/>
      <x:c r="L46" s="140"/>
      <x:c r="M46" s="140"/>
      <x:c r="N46" s="140"/>
      <x:c r="O46" s="140"/>
      <x:c r="P46" s="140"/>
      <x:c r="Q46" s="140"/>
      <x:c r="R46" s="140"/>
    </x:row>
    <x:row r="47">
      <x:c r="B47" s="152" t="str">
        <x:v>Bearing Margin</x:v>
      </x:c>
      <x:c r="C47" s="415" t="str">
        <x:f>IF(OR(C41="",C19=""),"",C19-C41)</x:f>
      </x:c>
      <x:c r="D47" s="152" t="str">
        <x:v>ksf</x:v>
      </x:c>
      <x:c r="E47" s="152" t="str">
        <x:v>qallow − qmax</x:v>
      </x:c>
      <x:c r="F47" s="140"/>
      <x:c r="G47" s="140"/>
      <x:c r="H47" s="140"/>
      <x:c r="I47" s="140"/>
      <x:c r="J47" s="140"/>
      <x:c r="K47" s="140"/>
      <x:c r="L47" s="140"/>
      <x:c r="M47" s="140"/>
      <x:c r="N47" s="140"/>
      <x:c r="O47" s="140"/>
      <x:c r="P47" s="140"/>
      <x:c r="Q47" s="140"/>
      <x:c r="R47" s="140"/>
    </x:row>
    <x:row r="48">
      <x:c r="B48" s="140"/>
      <x:c r="C48" s="140"/>
      <x:c r="D48" s="140"/>
      <x:c r="E48" s="140"/>
      <x:c r="F48" s="140"/>
      <x:c r="G48" s="140"/>
      <x:c r="H48" s="140"/>
      <x:c r="I48" s="140"/>
      <x:c r="J48" s="140"/>
      <x:c r="K48" s="140"/>
      <x:c r="L48" s="140"/>
      <x:c r="M48" s="140"/>
      <x:c r="N48" s="140"/>
      <x:c r="O48" s="140"/>
      <x:c r="P48" s="140"/>
      <x:c r="Q48" s="140"/>
      <x:c r="R48" s="140"/>
    </x:row>
    <x:row r="49">
      <x:c r="B49" s="140"/>
      <x:c r="C49" s="140"/>
      <x:c r="D49" s="140"/>
      <x:c r="E49" s="140"/>
      <x:c r="F49" s="140"/>
      <x:c r="G49" s="140"/>
      <x:c r="H49" s="140"/>
      <x:c r="I49" s="140"/>
      <x:c r="J49" s="140"/>
      <x:c r="K49" s="140"/>
      <x:c r="L49" s="140"/>
      <x:c r="M49" s="140"/>
      <x:c r="N49" s="140"/>
      <x:c r="O49" s="140"/>
      <x:c r="P49" s="140"/>
      <x:c r="Q49" s="140"/>
      <x:c r="R49" s="140"/>
    </x:row>
    <x:row r="50">
      <x:c r="B50" s="473" t="str">
        <x:v>CONTROLLED REVIEW GATES</x:v>
      </x:c>
      <x:c r="C50" s="473"/>
      <x:c r="D50" s="473"/>
      <x:c r="E50" s="473"/>
      <x:c r="F50" s="473"/>
      <x:c r="G50" s="473"/>
      <x:c r="H50" s="473"/>
      <x:c r="I50" s="473"/>
      <x:c r="J50" s="473"/>
      <x:c r="K50" s="140"/>
      <x:c r="L50" s="140"/>
      <x:c r="M50" s="140"/>
      <x:c r="N50" s="140"/>
      <x:c r="O50" s="140"/>
      <x:c r="P50" s="140"/>
      <x:c r="Q50" s="140"/>
      <x:c r="R50" s="140"/>
    </x:row>
    <x:row r="51">
      <x:c r="B51" s="480" t="str">
        <x:v>Gate</x:v>
      </x:c>
      <x:c r="C51" s="480" t="str">
        <x:v>Status</x:v>
      </x:c>
      <x:c r="D51" s="480" t="str">
        <x:v>Reason / action</x:v>
      </x:c>
      <x:c r="E51" s="480" t="str"/>
      <x:c r="F51" s="480" t="str"/>
      <x:c r="G51" s="480" t="str"/>
      <x:c r="H51" s="480" t="str"/>
      <x:c r="I51" s="480" t="str"/>
      <x:c r="J51" s="480" t="str"/>
      <x:c r="K51" s="140"/>
      <x:c r="L51" s="140"/>
      <x:c r="M51" s="140"/>
      <x:c r="N51" s="140"/>
      <x:c r="O51" s="140"/>
      <x:c r="P51" s="140"/>
      <x:c r="Q51" s="140"/>
      <x:c r="R51" s="140"/>
    </x:row>
    <x:row r="52">
      <x:c r="B52" s="152" t="str">
        <x:v>Geotechnical basis</x:v>
      </x:c>
      <x:c r="C52" s="152" t="str">
        <x:v>REVIEW</x:v>
      </x:c>
      <x:c r="D52" s="152" t="str">
        <x:v>Allowable bearing, friction, settlement, expansive soil, groundwater, liquefaction, and other site parameters require an appropriate geotechnical/CBC basis; Site Class alone is insufficient.</x:v>
      </x:c>
      <x:c r="E52" s="152" t="str"/>
      <x:c r="F52" s="152" t="str"/>
      <x:c r="G52" s="152" t="str"/>
      <x:c r="H52" s="152" t="str"/>
      <x:c r="I52" s="152" t="str"/>
      <x:c r="J52" s="152" t="str"/>
      <x:c r="K52" s="140"/>
      <x:c r="L52" s="140"/>
      <x:c r="M52" s="140"/>
      <x:c r="N52" s="140"/>
      <x:c r="O52" s="140"/>
      <x:c r="P52" s="140"/>
      <x:c r="Q52" s="140"/>
      <x:c r="R52" s="140"/>
    </x:row>
    <x:row r="53">
      <x:c r="B53" s="152" t="str">
        <x:v>Partial contact / uplift</x:v>
      </x:c>
      <x:c r="C53" s="152" t="str">
        <x:v>REVIEW</x:v>
      </x:c>
      <x:c r="D53" s="152" t="str">
        <x:v>If e &gt; B/6, this simple full-contact soil-pressure equation is not used; perform project-specific partial-contact/uplift analysis.</x:v>
      </x:c>
      <x:c r="E53" s="152" t="str"/>
      <x:c r="F53" s="152" t="str"/>
      <x:c r="G53" s="152" t="str"/>
      <x:c r="H53" s="152" t="str"/>
      <x:c r="I53" s="152" t="str"/>
      <x:c r="J53" s="152" t="str"/>
      <x:c r="K53" s="140"/>
      <x:c r="L53" s="140"/>
      <x:c r="M53" s="140"/>
      <x:c r="N53" s="140"/>
      <x:c r="O53" s="140"/>
      <x:c r="P53" s="140"/>
      <x:c r="Q53" s="140"/>
      <x:c r="R53" s="140"/>
    </x:row>
    <x:row r="54">
      <x:c r="B54" s="152" t="str">
        <x:v>Sliding resistance</x:v>
      </x:c>
      <x:c r="C54" s="152" t="str">
        <x:v>REVIEW</x:v>
      </x:c>
      <x:c r="D54" s="152" t="str">
        <x:v>Use passive resistance only when permitted and supported; coordinate slab/grade beam/shear key or other resistance where applicable.</x:v>
      </x:c>
      <x:c r="E54" s="152" t="str"/>
      <x:c r="F54" s="152" t="str"/>
      <x:c r="G54" s="152" t="str"/>
      <x:c r="H54" s="152" t="str"/>
      <x:c r="I54" s="152" t="str"/>
      <x:c r="J54" s="152" t="str"/>
      <x:c r="K54" s="140"/>
      <x:c r="L54" s="140"/>
      <x:c r="M54" s="140"/>
      <x:c r="N54" s="140"/>
      <x:c r="O54" s="140"/>
      <x:c r="P54" s="140"/>
      <x:c r="Q54" s="140"/>
      <x:c r="R54" s="140"/>
    </x:row>
    <x:row r="55">
      <x:c r="B55" s="152" t="str">
        <x:v>Concrete footing design</x:v>
      </x:c>
      <x:c r="C55" s="152" t="str">
        <x:v>REVIEW</x:v>
      </x:c>
      <x:c r="D55" s="152" t="str">
        <x:v>Flexure, one-way shear, punching shear, development, cover, minimum reinforcement, dowels, and anchorage require the governing concrete design calculation.</x:v>
      </x:c>
      <x:c r="E55" s="152" t="str"/>
      <x:c r="F55" s="152" t="str"/>
      <x:c r="G55" s="152" t="str"/>
      <x:c r="H55" s="152" t="str"/>
      <x:c r="I55" s="152" t="str"/>
      <x:c r="J55" s="152" t="str"/>
      <x:c r="K55" s="140"/>
      <x:c r="L55" s="140"/>
      <x:c r="M55" s="140"/>
      <x:c r="N55" s="140"/>
      <x:c r="O55" s="140"/>
      <x:c r="P55" s="140"/>
      <x:c r="Q55" s="140"/>
      <x:c r="R55" s="140"/>
    </x:row>
    <x:row r="56">
      <x:c r="B56" s="152" t="str">
        <x:v>Settlement / differential movement</x:v>
      </x:c>
      <x:c r="C56" s="152" t="str">
        <x:v>REVIEW</x:v>
      </x:c>
      <x:c r="D56" s="152" t="str">
        <x:v>Service bearing capacity alone does not establish acceptable settlement or compatibility with adjacent foundations.</x:v>
      </x:c>
      <x:c r="E56" s="152" t="str"/>
      <x:c r="F56" s="152" t="str"/>
      <x:c r="G56" s="152" t="str"/>
      <x:c r="H56" s="152" t="str"/>
      <x:c r="I56" s="152" t="str"/>
      <x:c r="J56" s="152" t="str"/>
      <x:c r="K56" s="140"/>
      <x:c r="L56" s="140"/>
      <x:c r="M56" s="140"/>
      <x:c r="N56" s="140"/>
      <x:c r="O56" s="140"/>
      <x:c r="P56" s="140"/>
      <x:c r="Q56" s="140"/>
      <x:c r="R56" s="140"/>
    </x:row>
    <x:row r="57">
      <x:c r="B57" s="152" t="str">
        <x:v>Seismic / special foundation provisions</x:v>
      </x:c>
      <x:c r="C57" s="152" t="str">
        <x:v>REVIEW</x:v>
      </x:c>
      <x:c r="D57" s="152" t="str">
        <x:v>Coordinate SDC, anchorage, ties, grade beams, special inspection, and jurisdiction-specific requirements.</x:v>
      </x:c>
      <x:c r="E57" s="152" t="str"/>
      <x:c r="F57" s="152" t="str"/>
      <x:c r="G57" s="152" t="str"/>
      <x:c r="H57" s="152" t="str"/>
      <x:c r="I57" s="152" t="str"/>
      <x:c r="J57" s="152" t="str"/>
      <x:c r="K57" s="140"/>
      <x:c r="L57" s="140"/>
      <x:c r="M57" s="140"/>
      <x:c r="N57" s="140"/>
      <x:c r="O57" s="140"/>
      <x:c r="P57" s="140"/>
      <x:c r="Q57" s="140"/>
      <x:c r="R57" s="140"/>
    </x:row>
    <x:row r="58">
      <x:c r="B58" s="152" t="str">
        <x:v>Publication gate</x:v>
      </x:c>
      <x:c r="C58" s="152" t="str">
        <x:v>REVIEW</x:v>
      </x:c>
      <x:c r="D58" s="152" t="str">
        <x:v>Responsible engineer must approve the foundation object, source records, concrete design, and drawing synchronization before issue.</x:v>
      </x:c>
      <x:c r="E58" s="152" t="str"/>
      <x:c r="F58" s="152" t="str"/>
      <x:c r="G58" s="152" t="str"/>
      <x:c r="H58" s="152" t="str"/>
      <x:c r="I58" s="152" t="str"/>
      <x:c r="J58" s="152" t="str"/>
      <x:c r="K58" s="140"/>
      <x:c r="L58" s="140"/>
      <x:c r="M58" s="140"/>
      <x:c r="N58" s="140"/>
      <x:c r="O58" s="140"/>
      <x:c r="P58" s="140"/>
      <x:c r="Q58" s="140"/>
      <x:c r="R58" s="140"/>
    </x:row>
    <x:row r="59">
      <x:c r="B59" s="140"/>
      <x:c r="C59" s="140"/>
      <x:c r="D59" s="140"/>
      <x:c r="E59" s="140"/>
      <x:c r="F59" s="140"/>
      <x:c r="G59" s="140"/>
      <x:c r="H59" s="140"/>
      <x:c r="I59" s="140"/>
      <x:c r="J59" s="140"/>
      <x:c r="K59" s="140"/>
      <x:c r="L59" s="140"/>
      <x:c r="M59" s="140"/>
      <x:c r="N59" s="140"/>
      <x:c r="O59" s="140"/>
      <x:c r="P59" s="140"/>
      <x:c r="Q59" s="140"/>
      <x:c r="R59" s="140"/>
    </x:row>
    <x:row r="60">
      <x:c r="B60" s="140"/>
      <x:c r="C60" s="140"/>
      <x:c r="D60" s="140"/>
      <x:c r="E60" s="140"/>
      <x:c r="F60" s="140"/>
      <x:c r="G60" s="140"/>
      <x:c r="H60" s="140"/>
      <x:c r="I60" s="140"/>
      <x:c r="J60" s="140"/>
      <x:c r="K60" s="140"/>
      <x:c r="L60" s="140"/>
      <x:c r="M60" s="140"/>
      <x:c r="N60" s="140"/>
      <x:c r="O60" s="140"/>
      <x:c r="P60" s="140"/>
      <x:c r="Q60" s="140"/>
      <x:c r="R60" s="140"/>
    </x:row>
    <x:row r="61">
      <x:c r="B61" s="140"/>
      <x:c r="C61" s="140"/>
      <x:c r="D61" s="140"/>
      <x:c r="E61" s="140"/>
      <x:c r="F61" s="140"/>
      <x:c r="G61" s="140"/>
      <x:c r="H61" s="140"/>
      <x:c r="I61" s="140"/>
      <x:c r="J61" s="140"/>
      <x:c r="K61" s="140"/>
      <x:c r="L61" s="140"/>
      <x:c r="M61" s="140"/>
      <x:c r="N61" s="140"/>
      <x:c r="O61" s="140"/>
      <x:c r="P61" s="140"/>
      <x:c r="Q61" s="140"/>
      <x:c r="R61" s="140"/>
    </x:row>
    <x:row r="62">
      <x:c r="B62" s="140"/>
      <x:c r="C62" s="140"/>
      <x:c r="D62" s="140"/>
      <x:c r="E62" s="140"/>
      <x:c r="F62" s="140"/>
      <x:c r="G62" s="140"/>
      <x:c r="H62" s="140"/>
      <x:c r="I62" s="140"/>
      <x:c r="J62" s="140"/>
      <x:c r="K62" s="140"/>
      <x:c r="L62" s="140"/>
      <x:c r="M62" s="140"/>
      <x:c r="N62" s="140"/>
      <x:c r="O62" s="140"/>
      <x:c r="P62" s="140"/>
      <x:c r="Q62" s="140"/>
      <x:c r="R62" s="140"/>
    </x:row>
    <x:row r="63">
      <x:c r="B63" s="140"/>
      <x:c r="C63" s="140"/>
      <x:c r="D63" s="140"/>
      <x:c r="E63" s="140"/>
      <x:c r="F63" s="140"/>
      <x:c r="G63" s="140"/>
      <x:c r="H63" s="140"/>
      <x:c r="I63" s="140"/>
      <x:c r="J63" s="140"/>
      <x:c r="K63" s="140"/>
      <x:c r="L63" s="140"/>
      <x:c r="M63" s="140"/>
      <x:c r="N63" s="140"/>
      <x:c r="O63" s="140"/>
      <x:c r="P63" s="140"/>
      <x:c r="Q63" s="140"/>
      <x:c r="R63" s="140"/>
    </x:row>
    <x:row r="64">
      <x:c r="B64" s="140"/>
      <x:c r="C64" s="140"/>
      <x:c r="D64" s="140"/>
      <x:c r="E64" s="140"/>
      <x:c r="F64" s="140"/>
      <x:c r="G64" s="140"/>
      <x:c r="H64" s="140"/>
      <x:c r="I64" s="140"/>
      <x:c r="J64" s="140"/>
      <x:c r="K64" s="140"/>
      <x:c r="L64" s="140"/>
      <x:c r="M64" s="140"/>
      <x:c r="N64" s="140"/>
      <x:c r="O64" s="140"/>
      <x:c r="P64" s="140"/>
      <x:c r="Q64" s="140"/>
      <x:c r="R64" s="140"/>
    </x:row>
    <x:row r="65">
      <x:c r="B65" s="140"/>
      <x:c r="C65" s="140"/>
      <x:c r="D65" s="140"/>
      <x:c r="E65" s="140"/>
      <x:c r="F65" s="140"/>
      <x:c r="G65" s="140"/>
      <x:c r="H65" s="140"/>
      <x:c r="I65" s="140"/>
      <x:c r="J65" s="140"/>
      <x:c r="K65" s="140"/>
      <x:c r="L65" s="140"/>
      <x:c r="M65" s="140"/>
      <x:c r="N65" s="140"/>
      <x:c r="O65" s="140"/>
      <x:c r="P65" s="140"/>
      <x:c r="Q65" s="140"/>
      <x:c r="R65" s="140"/>
    </x:row>
  </x:sheetData>
  <x:mergeCells>
    <x:mergeCell ref="B2:J2"/>
    <x:mergeCell ref="B4:J4"/>
    <x:mergeCell ref="B6:F6"/>
    <x:mergeCell ref="H6:J6"/>
    <x:mergeCell ref="B32:F32"/>
    <x:mergeCell ref="B50:J50"/>
    <x:mergeCell ref="D52:J52"/>
    <x:mergeCell ref="D53:J53"/>
    <x:mergeCell ref="D54:J54"/>
    <x:mergeCell ref="D55:J55"/>
    <x:mergeCell ref="D56:J56"/>
    <x:mergeCell ref="D57:J57"/>
    <x:mergeCell ref="D58:J58"/>
    <x:mergeCell ref="M2:R2"/>
  </x:mergeCells>
  <x:conditionalFormatting sqref="I7:I14">
    <x:cfRule type="expression" dxfId="216" priority="1">
      <x:formula>I7="PASS"</x:formula>
    </x:cfRule>
    <x:cfRule type="expression" dxfId="217" priority="2">
      <x:formula>I7="FAIL"</x:formula>
    </x:cfRule>
    <x:cfRule type="expression" dxfId="218" priority="3">
      <x:formula>OR(I7="PENDING",I7="REVIEW",I7="CHECK",I7="REVIEWED")</x:formula>
    </x:cfRule>
  </x:conditionalFormatting>
  <x:conditionalFormatting sqref="R4:R13">
    <x:cfRule type="expression" dxfId="219" priority="4">
      <x:formula>R4="PASS"</x:formula>
    </x:cfRule>
    <x:cfRule type="expression" dxfId="220" priority="5">
      <x:formula>R4="FAIL"</x:formula>
    </x:cfRule>
    <x:cfRule type="expression" dxfId="221" priority="6">
      <x:formula>OR(R4="PENDING",R4="REVIEW",R4="CHECK",R4="REVIEWED")</x:formula>
    </x:cfRule>
  </x:conditionalFormatting>
  <x:pageMargins left="0.7" right="0.7" top="0.75" bottom="0.75" header="0.3" footer="0.3"/>
</x:worksheet>
</file>

<file path=xl/worksheets/sheet44.xml><?xml version="1.0" encoding="utf-8"?>
<x:worksheet xmlns:x="http://schemas.openxmlformats.org/spreadsheetml/2006/main">
  <x:sheetFormatPr defaultRowHeight="15"/>
  <x:cols>
    <x:col min="2" max="2" width="8" hidden="0" customWidth="1"/>
    <x:col min="3" max="3" width="36" hidden="0" customWidth="1"/>
    <x:col min="4" max="4" width="18" hidden="0" customWidth="1"/>
    <x:col min="5" max="5" width="12" hidden="0" customWidth="1"/>
    <x:col min="6" max="6" width="30" hidden="0" customWidth="1"/>
    <x:col min="7" max="7" width="34" hidden="0" customWidth="1"/>
    <x:col min="8" max="8" width="12" hidden="0" customWidth="1"/>
  </x:cols>
  <x:sheetData>
    <x:row r="2" ht="28" customHeight="1">
      <x:c r="B2" s="514" t="str">
        <x:v>LONGHAND CALCULATION — FOUNDATION / SOIL STABILITY</x:v>
      </x:c>
      <x:c r="C2" s="514"/>
      <x:c r="D2" s="514"/>
      <x:c r="E2" s="514"/>
      <x:c r="F2" s="514"/>
      <x:c r="G2" s="514"/>
      <x:c r="H2" s="514"/>
    </x:row>
    <x:row r="4">
      <x:c r="B4" s="480" t="str">
        <x:v>Step</x:v>
      </x:c>
      <x:c r="C4" s="480" t="str">
        <x:v>Parameter / equation</x:v>
      </x:c>
      <x:c r="D4" s="480" t="str">
        <x:v>Value</x:v>
      </x:c>
      <x:c r="E4" s="480" t="str">
        <x:v>Unit</x:v>
      </x:c>
      <x:c r="F4" s="480" t="str">
        <x:v>Source</x:v>
      </x:c>
      <x:c r="G4" s="480" t="str">
        <x:v>Independent check</x:v>
      </x:c>
      <x:c r="H4" s="480" t="str">
        <x:v>Status</x:v>
      </x:c>
    </x:row>
    <x:row r="5">
      <x:c r="B5" s="408" t="str">
        <x:v>1</x:v>
      </x:c>
      <x:c r="C5" s="408" t="str">
        <x:v>Foundation mark</x:v>
      </x:c>
      <x:c r="D5" s="408" t="str">
        <x:f>IF('36_FOUNDATION'!C8="","",'36_FOUNDATION'!C8)</x:f>
      </x:c>
      <x:c r="E5" s="408" t="str"/>
      <x:c r="F5" s="408" t="str">
        <x:v>Object model / CAD</x:v>
      </x:c>
      <x:c r="G5" s="408" t="str"/>
      <x:c r="H5" s="408" t="str">
        <x:f>IF(D5="","PENDING","OK")</x:f>
        <x:v>PENDING</x:v>
      </x:c>
    </x:row>
    <x:row r="6">
      <x:c r="B6" s="408" t="str">
        <x:v>2</x:v>
      </x:c>
      <x:c r="C6" s="408" t="str">
        <x:v>Footing area A</x:v>
      </x:c>
      <x:c r="D6" s="408" t="str">
        <x:f>IF('36_FOUNDATION'!C34="","",'36_FOUNDATION'!C34)</x:f>
      </x:c>
      <x:c r="E6" s="408" t="str">
        <x:v>ft²</x:v>
      </x:c>
      <x:c r="F6" s="408" t="str">
        <x:v>Geometry</x:v>
      </x:c>
      <x:c r="G6" s="408" t="str">
        <x:v>B × L</x:v>
      </x:c>
      <x:c r="H6" s="408" t="str">
        <x:f>IF(D6="","PENDING","OK")</x:f>
        <x:v>PENDING</x:v>
      </x:c>
    </x:row>
    <x:row r="7">
      <x:c r="B7" s="408" t="str">
        <x:v>3</x:v>
      </x:c>
      <x:c r="C7" s="408" t="str">
        <x:v>Footing self-weight</x:v>
      </x:c>
      <x:c r="D7" s="408" t="str">
        <x:f>IF('36_FOUNDATION'!C35="","",'36_FOUNDATION'!C35)</x:f>
      </x:c>
      <x:c r="E7" s="408" t="str">
        <x:v>kips</x:v>
      </x:c>
      <x:c r="F7" s="408" t="str">
        <x:v>Material + geometry</x:v>
      </x:c>
      <x:c r="G7" s="408" t="str">
        <x:v>B×L×t×γ</x:v>
      </x:c>
      <x:c r="H7" s="408" t="str">
        <x:f>IF(D7="","PENDING","OK")</x:f>
        <x:v>PENDING</x:v>
      </x:c>
    </x:row>
    <x:row r="8">
      <x:c r="B8" s="408" t="str">
        <x:v>4</x:v>
      </x:c>
      <x:c r="C8" s="408" t="str">
        <x:v>Total service vertical</x:v>
      </x:c>
      <x:c r="D8" s="408" t="str">
        <x:f>IF('36_FOUNDATION'!C36="","",'36_FOUNDATION'!C36)</x:f>
      </x:c>
      <x:c r="E8" s="408" t="str">
        <x:v>kips</x:v>
      </x:c>
      <x:c r="F8" s="408" t="str">
        <x:v>Load path</x:v>
      </x:c>
      <x:c r="G8" s="408" t="str">
        <x:v>P + Wf</x:v>
      </x:c>
      <x:c r="H8" s="408" t="str">
        <x:f>IF(D8="","PENDING","OK")</x:f>
        <x:v>PENDING</x:v>
      </x:c>
    </x:row>
    <x:row r="9">
      <x:c r="B9" s="408" t="str">
        <x:v>5</x:v>
      </x:c>
      <x:c r="C9" s="408" t="str">
        <x:v>Eccentricity e</x:v>
      </x:c>
      <x:c r="D9" s="408" t="str">
        <x:f>IF('36_FOUNDATION'!C37="","",'36_FOUNDATION'!C37)</x:f>
      </x:c>
      <x:c r="E9" s="408" t="str">
        <x:v>ft</x:v>
      </x:c>
      <x:c r="F9" s="408" t="str">
        <x:v>Statics</x:v>
      </x:c>
      <x:c r="G9" s="408" t="str">
        <x:v>|M|/P</x:v>
      </x:c>
      <x:c r="H9" s="408" t="str">
        <x:f>IF(D9="","PENDING","OK")</x:f>
        <x:v>PENDING</x:v>
      </x:c>
    </x:row>
    <x:row r="10">
      <x:c r="B10" s="408" t="str">
        <x:v>6</x:v>
      </x:c>
      <x:c r="C10" s="408" t="str">
        <x:v>Middle-third limit</x:v>
      </x:c>
      <x:c r="D10" s="408" t="str">
        <x:f>IF('36_FOUNDATION'!C38="","",'36_FOUNDATION'!C38)</x:f>
      </x:c>
      <x:c r="E10" s="408" t="str">
        <x:v>ft</x:v>
      </x:c>
      <x:c r="F10" s="408" t="str">
        <x:v>Full-contact screen</x:v>
      </x:c>
      <x:c r="G10" s="408" t="str">
        <x:v>B/6</x:v>
      </x:c>
      <x:c r="H10" s="408" t="str">
        <x:f>IF(D10="","PENDING","OK")</x:f>
        <x:v>PENDING</x:v>
      </x:c>
    </x:row>
    <x:row r="11">
      <x:c r="B11" s="408" t="str">
        <x:v>7</x:v>
      </x:c>
      <x:c r="C11" s="408" t="str">
        <x:v>Full contact status</x:v>
      </x:c>
      <x:c r="D11" s="408" t="str">
        <x:f>IF('36_FOUNDATION'!C39="","",'36_FOUNDATION'!C39)</x:f>
      </x:c>
      <x:c r="E11" s="408" t="str"/>
      <x:c r="F11" s="408" t="str">
        <x:v>36_FOUNDATION</x:v>
      </x:c>
      <x:c r="G11" s="408" t="str">
        <x:v>e ≤ B/6</x:v>
      </x:c>
      <x:c r="H11" s="408" t="str">
        <x:f>IF(D11="","PENDING","OK")</x:f>
        <x:v>PENDING</x:v>
      </x:c>
    </x:row>
    <x:row r="12">
      <x:c r="B12" s="408" t="str">
        <x:v>8</x:v>
      </x:c>
      <x:c r="C12" s="408" t="str">
        <x:v>Average pressure qavg</x:v>
      </x:c>
      <x:c r="D12" s="408" t="str">
        <x:f>IF('36_FOUNDATION'!C40="","",'36_FOUNDATION'!C40)</x:f>
      </x:c>
      <x:c r="E12" s="408" t="str">
        <x:v>ksf</x:v>
      </x:c>
      <x:c r="F12" s="408" t="str">
        <x:v>Statics</x:v>
      </x:c>
      <x:c r="G12" s="408" t="str">
        <x:v>P/A</x:v>
      </x:c>
      <x:c r="H12" s="408" t="str">
        <x:f>IF(D12="","PENDING","OK")</x:f>
        <x:v>PENDING</x:v>
      </x:c>
    </x:row>
    <x:row r="13">
      <x:c r="B13" s="408" t="str">
        <x:v>9</x:v>
      </x:c>
      <x:c r="C13" s="408" t="str">
        <x:v>Maximum pressure qmax</x:v>
      </x:c>
      <x:c r="D13" s="408" t="str">
        <x:f>IF('36_FOUNDATION'!C41="","",'36_FOUNDATION'!C41)</x:f>
      </x:c>
      <x:c r="E13" s="408" t="str">
        <x:v>ksf</x:v>
      </x:c>
      <x:c r="F13" s="408" t="str">
        <x:v>Full-contact linear distribution</x:v>
      </x:c>
      <x:c r="G13" s="408" t="str">
        <x:v>qavg(1+6e/B)</x:v>
      </x:c>
      <x:c r="H13" s="408" t="str">
        <x:f>IF(D13="","PENDING","OK")</x:f>
        <x:v>PENDING</x:v>
      </x:c>
    </x:row>
    <x:row r="14">
      <x:c r="B14" s="408" t="str">
        <x:v>10</x:v>
      </x:c>
      <x:c r="C14" s="408" t="str">
        <x:v>Minimum pressure qmin</x:v>
      </x:c>
      <x:c r="D14" s="408" t="str">
        <x:f>IF('36_FOUNDATION'!C42="","",'36_FOUNDATION'!C42)</x:f>
      </x:c>
      <x:c r="E14" s="408" t="str">
        <x:v>ksf</x:v>
      </x:c>
      <x:c r="F14" s="408" t="str">
        <x:v>Full-contact linear distribution</x:v>
      </x:c>
      <x:c r="G14" s="408" t="str">
        <x:v>qavg(1−6e/B)</x:v>
      </x:c>
      <x:c r="H14" s="408" t="str">
        <x:f>IF(D14="","PENDING","OK")</x:f>
        <x:v>PENDING</x:v>
      </x:c>
    </x:row>
    <x:row r="15">
      <x:c r="B15" s="408" t="str">
        <x:v>11</x:v>
      </x:c>
      <x:c r="C15" s="408" t="str">
        <x:v>Bearing D/C</x:v>
      </x:c>
      <x:c r="D15" s="408" t="str">
        <x:f>IF('36_FOUNDATION'!C43="","",'36_FOUNDATION'!C43)</x:f>
      </x:c>
      <x:c r="E15" s="408" t="str"/>
      <x:c r="F15" s="408" t="str">
        <x:v>Geotechnical criterion</x:v>
      </x:c>
      <x:c r="G15" s="408" t="str">
        <x:v>qmax/qallow</x:v>
      </x:c>
      <x:c r="H15" s="408" t="str">
        <x:f>IF(D15="","PENDING","OK")</x:f>
        <x:v>PENDING</x:v>
      </x:c>
    </x:row>
    <x:row r="16">
      <x:c r="B16" s="408" t="str">
        <x:v>12</x:v>
      </x:c>
      <x:c r="C16" s="408" t="str">
        <x:v>Sliding resistance</x:v>
      </x:c>
      <x:c r="D16" s="408" t="str">
        <x:f>IF('36_FOUNDATION'!C44="","",'36_FOUNDATION'!C44)</x:f>
      </x:c>
      <x:c r="E16" s="408" t="str">
        <x:v>kips</x:v>
      </x:c>
      <x:c r="F16" s="408" t="str">
        <x:v>Service stability</x:v>
      </x:c>
      <x:c r="G16" s="408" t="str">
        <x:v>μP + permitted passive</x:v>
      </x:c>
      <x:c r="H16" s="408" t="str">
        <x:f>IF(D16="","PENDING","OK")</x:f>
        <x:v>PENDING</x:v>
      </x:c>
    </x:row>
    <x:row r="17">
      <x:c r="B17" s="408" t="str">
        <x:v>13</x:v>
      </x:c>
      <x:c r="C17" s="408" t="str">
        <x:v>Sliding FS</x:v>
      </x:c>
      <x:c r="D17" s="408" t="str">
        <x:f>IF('36_FOUNDATION'!C45="","",'36_FOUNDATION'!C45)</x:f>
      </x:c>
      <x:c r="E17" s="408" t="str"/>
      <x:c r="F17" s="408" t="str">
        <x:v>Project/geotech criterion</x:v>
      </x:c>
      <x:c r="G17" s="408" t="str">
        <x:v>R/H</x:v>
      </x:c>
      <x:c r="H17" s="408" t="str">
        <x:f>IF(D17="","PENDING","OK")</x:f>
        <x:v>PENDING</x:v>
      </x:c>
    </x:row>
    <x:row r="18">
      <x:c r="B18" s="408" t="str">
        <x:v>14</x:v>
      </x:c>
      <x:c r="C18" s="408" t="str">
        <x:v>Overturning FS</x:v>
      </x:c>
      <x:c r="D18" s="408" t="str">
        <x:f>IF('36_FOUNDATION'!C46="","",'36_FOUNDATION'!C46)</x:f>
      </x:c>
      <x:c r="E18" s="408" t="str"/>
      <x:c r="F18" s="408" t="str">
        <x:v>Service stability screen</x:v>
      </x:c>
      <x:c r="G18" s="408" t="str">
        <x:v>P(B/2)/M</x:v>
      </x:c>
      <x:c r="H18" s="408" t="str">
        <x:f>IF(D18="","PENDING","OK")</x:f>
        <x:v>PENDING</x:v>
      </x:c>
    </x:row>
    <x:row r="19">
      <x:c r="B19" s="408" t="str">
        <x:v>15</x:v>
      </x:c>
      <x:c r="C19" s="408" t="str">
        <x:v>Module status</x:v>
      </x:c>
      <x:c r="D19" s="408" t="str">
        <x:f>IF('36_FOUNDATION'!I14="","",'36_FOUNDATION'!I14)</x:f>
        <x:v>PENDING</x:v>
      </x:c>
      <x:c r="E19" s="408" t="str"/>
      <x:c r="F19" s="408" t="str">
        <x:v>36_FOUNDATION</x:v>
      </x:c>
      <x:c r="G19" s="408" t="str"/>
      <x:c r="H19" s="408" t="str">
        <x:f>IF(D19="","PENDING","OK")</x:f>
        <x:v>OK</x:v>
      </x:c>
    </x:row>
    <x:row r="22">
      <x:c r="B22" s="535" t="str">
        <x:v>Longhand note: this page exposes the mechanics and service-stability trace. Geotechnical values and reinforced-concrete strength/detailing remain source-controlled. A Site Class designation is seismic ground-motion information and is not treated as an allowable bearing/friction value.</x:v>
      </x:c>
      <x:c r="C22" s="535"/>
      <x:c r="D22" s="535"/>
      <x:c r="E22" s="535"/>
      <x:c r="F22" s="535"/>
      <x:c r="G22" s="535"/>
      <x:c r="H22" s="535"/>
    </x:row>
    <x:row r="23">
      <x:c r="B23" s="535"/>
      <x:c r="C23" s="535"/>
      <x:c r="D23" s="535"/>
      <x:c r="E23" s="535"/>
      <x:c r="F23" s="535"/>
      <x:c r="G23" s="535"/>
      <x:c r="H23" s="535"/>
    </x:row>
    <x:row r="24">
      <x:c r="B24" s="535"/>
      <x:c r="C24" s="535"/>
      <x:c r="D24" s="535"/>
      <x:c r="E24" s="535"/>
      <x:c r="F24" s="535"/>
      <x:c r="G24" s="535"/>
      <x:c r="H24" s="535"/>
    </x:row>
    <x:row r="25">
      <x:c r="B25" s="535"/>
      <x:c r="C25" s="535"/>
      <x:c r="D25" s="535"/>
      <x:c r="E25" s="535"/>
      <x:c r="F25" s="535"/>
      <x:c r="G25" s="535"/>
      <x:c r="H25" s="535"/>
    </x:row>
  </x:sheetData>
  <x:mergeCells>
    <x:mergeCell ref="B2:H2"/>
    <x:mergeCell ref="B22:H25"/>
  </x:mergeCells>
  <x:pageMargins left="0.7" right="0.7" top="0.75" bottom="0.75" header="0.3" footer="0.3"/>
</x:worksheet>
</file>

<file path=xl/worksheets/sheet45.xml><?xml version="1.0" encoding="utf-8"?>
<x:worksheet xmlns:x="http://schemas.openxmlformats.org/spreadsheetml/2006/main">
  <x:sheetFormatPr defaultRowHeight="15"/>
  <x:cols>
    <x:col min="2" max="2" width="30" hidden="0" customWidth="1"/>
    <x:col min="3" max="3" width="20" hidden="0" customWidth="1"/>
    <x:col min="4" max="4" width="22" hidden="0" customWidth="1"/>
    <x:col min="5" max="5" width="20" hidden="0" customWidth="1"/>
    <x:col min="6" max="6" width="20" hidden="0" customWidth="1"/>
    <x:col min="7" max="7" width="20" hidden="0" customWidth="1"/>
    <x:col min="8" max="8" width="36" hidden="0" customWidth="1"/>
  </x:cols>
  <x:sheetData>
    <x:row r="1">
      <x:c r="B1" s="140"/>
      <x:c r="C1" s="140"/>
      <x:c r="D1" s="140"/>
      <x:c r="E1" s="140"/>
      <x:c r="F1" s="140"/>
      <x:c r="G1" s="140"/>
      <x:c r="H1" s="140"/>
    </x:row>
    <x:row r="2" ht="28" customHeight="1">
      <x:c r="B2" s="514" t="str">
        <x:v>PROJECT ISSUE GATE — FUNCTION → VERIFICATION → DESIGN SYNC → APPROVAL</x:v>
      </x:c>
      <x:c r="C2" s="514"/>
      <x:c r="D2" s="514"/>
      <x:c r="E2" s="514"/>
      <x:c r="F2" s="514"/>
      <x:c r="G2" s="514"/>
      <x:c r="H2" s="514"/>
    </x:row>
    <x:row r="3">
      <x:c r="B3" s="140"/>
      <x:c r="C3" s="140"/>
      <x:c r="D3" s="140"/>
      <x:c r="E3" s="140"/>
      <x:c r="F3" s="140"/>
      <x:c r="G3" s="140"/>
      <x:c r="H3" s="140"/>
    </x:row>
    <x:row r="4">
      <x:c r="B4" s="517" t="str">
        <x:v>A project is not ready because a drawing looks complete. It is ready when each required working object/function is defined, its engineering verification is complete, the design documents are synchronized with the verified model, and the responsible approvals are recorded.</x:v>
      </x:c>
      <x:c r="C4" s="517"/>
      <x:c r="D4" s="517"/>
      <x:c r="E4" s="517"/>
      <x:c r="F4" s="517"/>
      <x:c r="G4" s="517"/>
      <x:c r="H4" s="517"/>
    </x:row>
    <x:row r="5">
      <x:c r="B5" s="140"/>
      <x:c r="C5" s="140"/>
      <x:c r="D5" s="140"/>
      <x:c r="E5" s="140"/>
      <x:c r="F5" s="140"/>
      <x:c r="G5" s="140"/>
      <x:c r="H5" s="140"/>
    </x:row>
    <x:row r="6">
      <x:c r="B6" s="480" t="str">
        <x:v>Domain</x:v>
      </x:c>
      <x:c r="C6" s="480" t="str">
        <x:v>Function State</x:v>
      </x:c>
      <x:c r="D6" s="480" t="str">
        <x:v>Verification State</x:v>
      </x:c>
      <x:c r="E6" s="480" t="str">
        <x:v>Design Sync</x:v>
      </x:c>
      <x:c r="F6" s="480" t="str">
        <x:v>Approval</x:v>
      </x:c>
      <x:c r="G6" s="480" t="str">
        <x:v>Issue Gate</x:v>
      </x:c>
      <x:c r="H6" s="480" t="str">
        <x:v>Primary Review Location</x:v>
      </x:c>
    </x:row>
    <x:row r="7">
      <x:c r="B7" s="152" t="str">
        <x:v>Project Setup</x:v>
      </x:c>
      <x:c r="C7" s="152" t="str">
        <x:f>IF('00_COVER'!F16="CONFIRMED","COMPLETE","INCOMPLETE")</x:f>
        <x:v>INCOMPLETE</x:v>
      </x:c>
      <x:c r="D7" s="152" t="str">
        <x:f>IF(C7="COMPLETE","VERIFIED","PENDING")</x:f>
        <x:v>PENDING</x:v>
      </x:c>
      <x:c r="E7" s="152" t="str">
        <x:v>N/A</x:v>
      </x:c>
      <x:c r="F7" s="152" t="str">
        <x:f>IF('00_COVER'!F16="CONFIRMED","APPROVED","PENDING")</x:f>
        <x:v>PENDING</x:v>
      </x:c>
      <x:c r="G7" s="152" t="str">
        <x:f>IF(AND(C7="COMPLETE",D7="VERIFIED",F7="APPROVED"),"READY","PENDING")</x:f>
        <x:v>PENDING</x:v>
      </x:c>
      <x:c r="H7" s="152" t="str">
        <x:v>00_COVER</x:v>
      </x:c>
    </x:row>
    <x:row r="8">
      <x:c r="B8" s="152" t="str">
        <x:v>CAD / Geometry</x:v>
      </x:c>
      <x:c r="C8" s="152" t="str">
        <x:f>IF(OR('00_COVER'!F15="",'00_COVER'!F15="NOT LOADED"),"INCOMPLETE","DEFINED")</x:f>
        <x:v>INCOMPLETE</x:v>
      </x:c>
      <x:c r="D8" s="152" t="str">
        <x:v>CONFIRMATION REQUIRED</x:v>
      </x:c>
      <x:c r="E8" s="152" t="str">
        <x:f>IF(COUNTIF('00_CAD_CONFIRM'!I7:I14,"PENDING")=0,"SYNCED / CONFIRMED","PENDING")</x:f>
        <x:v>PENDING</x:v>
      </x:c>
      <x:c r="F8" s="152" t="str">
        <x:f>IF(E8="SYNCED / CONFIRMED","APPROVED","PENDING")</x:f>
        <x:v>PENDING</x:v>
      </x:c>
      <x:c r="G8" s="152" t="str">
        <x:f>IF(AND(C8&lt;&gt;"INCOMPLETE",E8="SYNCED / CONFIRMED"),"READY","PENDING")</x:f>
        <x:v>PENDING</x:v>
      </x:c>
      <x:c r="H8" s="152" t="str">
        <x:v>00_CAD_CONFIRM / 00_OBJECT_MODEL</x:v>
      </x:c>
    </x:row>
    <x:row r="9">
      <x:c r="B9" s="152" t="str">
        <x:v>Design Criteria / Hazards</x:v>
      </x:c>
      <x:c r="C9" s="152" t="str">
        <x:f>IF(COUNTIF('02_CRITERIA'!F17:F25,"MISSING")=0,"DEFINED","INCOMPLETE")</x:f>
        <x:v>INCOMPLETE</x:v>
      </x:c>
      <x:c r="D9" s="152" t="str">
        <x:f>IF(C9="DEFINED","REVIEW","PENDING")</x:f>
        <x:v>PENDING</x:v>
      </x:c>
      <x:c r="E9" s="152" t="str">
        <x:v>N/A</x:v>
      </x:c>
      <x:c r="F9" s="152" t="str">
        <x:v>ENGINEER REVIEW</x:v>
      </x:c>
      <x:c r="G9" s="152" t="str">
        <x:f>IF(AND(C9="DEFINED",D9&lt;&gt;"PENDING"),"REVIEW","PENDING")</x:f>
        <x:v>PENDING</x:v>
      </x:c>
      <x:c r="H9" s="152" t="str">
        <x:v>02_CRITERIA</x:v>
      </x:c>
    </x:row>
    <x:row r="10">
      <x:c r="B10" s="152" t="str">
        <x:v>Wind</x:v>
      </x:c>
      <x:c r="C10" s="152" t="str">
        <x:f>IF('16_WIND'!J38="","PENDING",'16_WIND'!J38)</x:f>
        <x:v>PENDING</x:v>
      </x:c>
      <x:c r="D10" s="152" t="str">
        <x:f>IF(OR(C10="PASS",C10="REVIEW",C10="REVIEWED"),"VERIFIED / REVIEW","PENDING")</x:f>
        <x:v>PENDING</x:v>
      </x:c>
      <x:c r="E10" s="152" t="str">
        <x:v>PENDING</x:v>
      </x:c>
      <x:c r="F10" s="152" t="str">
        <x:v>ENGINEER REVIEW</x:v>
      </x:c>
      <x:c r="G10" s="152" t="str">
        <x:f>IF(C10="FAIL","FAIL",IF(OR(C10="PENDING",D10="PENDING",E10="PENDING",F10="PENDING"),"PENDING","REVIEW"))</x:f>
        <x:v>PENDING</x:v>
      </x:c>
      <x:c r="H10" s="152" t="str">
        <x:v>16_WIND / 17_LONGHAND_WIND</x:v>
      </x:c>
    </x:row>
    <x:row r="11">
      <x:c r="B11" s="152" t="str">
        <x:v>Seismic</x:v>
      </x:c>
      <x:c r="C11" s="152" t="str">
        <x:f>IF('18_SEISMIC'!G78="","PENDING",'18_SEISMIC'!G78)</x:f>
        <x:v>PENDING</x:v>
      </x:c>
      <x:c r="D11" s="152" t="str">
        <x:f>IF(OR(C11="PASS",C11="REVIEW",C11="REVIEWED"),"VERIFIED / REVIEW","PENDING")</x:f>
        <x:v>PENDING</x:v>
      </x:c>
      <x:c r="E11" s="152" t="str">
        <x:v>PENDING</x:v>
      </x:c>
      <x:c r="F11" s="152" t="str">
        <x:v>ENGINEER REVIEW</x:v>
      </x:c>
      <x:c r="G11" s="152" t="str">
        <x:f>IF(C11="FAIL","FAIL",IF(OR(C11="PENDING",D11="PENDING",E11="PENDING",F11="PENDING"),"PENDING","REVIEW"))</x:f>
        <x:v>PENDING</x:v>
      </x:c>
      <x:c r="H11" s="152" t="str">
        <x:v>18_SEISMIC / 19_LONGHAND_SEISMIC</x:v>
      </x:c>
    </x:row>
    <x:row r="12">
      <x:c r="B12" s="152" t="str">
        <x:v>Wood Beam / Header</x:v>
      </x:c>
      <x:c r="C12" s="152" t="str">
        <x:f>IF('20_WOOD_BEAM'!I12="","PENDING",'20_WOOD_BEAM'!I12)</x:f>
        <x:v>PENDING</x:v>
      </x:c>
      <x:c r="D12" s="152" t="str">
        <x:f>IF(OR(C12="PASS",C12="REVIEW",C12="REVIEWED"),"VERIFIED / REVIEW","PENDING")</x:f>
        <x:v>PENDING</x:v>
      </x:c>
      <x:c r="E12" s="152" t="str">
        <x:v>PENDING</x:v>
      </x:c>
      <x:c r="F12" s="152" t="str">
        <x:v>ENGINEER REVIEW</x:v>
      </x:c>
      <x:c r="G12" s="152" t="str">
        <x:f>IF(C12="FAIL","FAIL",IF(OR(C12="PENDING",D12="PENDING",E12="PENDING",F12="PENDING"),"PENDING","REVIEW"))</x:f>
        <x:v>PENDING</x:v>
      </x:c>
      <x:c r="H12" s="152" t="str">
        <x:v>20_WOOD_BEAM</x:v>
      </x:c>
    </x:row>
    <x:row r="13">
      <x:c r="B13" s="152" t="str">
        <x:v>Wood Column / Post</x:v>
      </x:c>
      <x:c r="C13" s="152" t="str">
        <x:f>IF('22_WOOD_COLUMN'!I12="","PENDING",'22_WOOD_COLUMN'!I12)</x:f>
        <x:v>PENDING</x:v>
      </x:c>
      <x:c r="D13" s="152" t="str">
        <x:f>IF(OR(C13="PASS",C13="REVIEW",C13="REVIEWED"),"VERIFIED / REVIEW","PENDING")</x:f>
        <x:v>PENDING</x:v>
      </x:c>
      <x:c r="E13" s="152" t="str">
        <x:v>PENDING</x:v>
      </x:c>
      <x:c r="F13" s="152" t="str">
        <x:v>ENGINEER REVIEW</x:v>
      </x:c>
      <x:c r="G13" s="152" t="str">
        <x:f>IF(C13="FAIL","FAIL",IF(OR(C13="PENDING",D13="PENDING",E13="PENDING",F13="PENDING"),"PENDING","REVIEW"))</x:f>
        <x:v>PENDING</x:v>
      </x:c>
      <x:c r="H13" s="152" t="str">
        <x:v>22_WOOD_COLUMN</x:v>
      </x:c>
    </x:row>
    <x:row r="14">
      <x:c r="B14" s="152" t="str">
        <x:v>Shear Wall</x:v>
      </x:c>
      <x:c r="C14" s="152" t="str">
        <x:f>IF('24_SHEAR_WALL'!I13="","PENDING",'24_SHEAR_WALL'!I13)</x:f>
        <x:v>PENDING</x:v>
      </x:c>
      <x:c r="D14" s="152" t="str">
        <x:f>IF(OR(C14="PASS",C14="REVIEW",C14="REVIEWED"),"VERIFIED / REVIEW","PENDING")</x:f>
        <x:v>PENDING</x:v>
      </x:c>
      <x:c r="E14" s="152" t="str">
        <x:v>PENDING</x:v>
      </x:c>
      <x:c r="F14" s="152" t="str">
        <x:v>ENGINEER REVIEW</x:v>
      </x:c>
      <x:c r="G14" s="152" t="str">
        <x:f>IF(C14="FAIL","FAIL",IF(OR(C14="PENDING",D14="PENDING",E14="PENDING",F14="PENDING"),"PENDING","REVIEW"))</x:f>
        <x:v>PENDING</x:v>
      </x:c>
      <x:c r="H14" s="152" t="str">
        <x:v>24_SHEAR_WALL</x:v>
      </x:c>
    </x:row>
    <x:row r="15">
      <x:c r="B15" s="152" t="str">
        <x:v>Diaphragm</x:v>
      </x:c>
      <x:c r="C15" s="152" t="str">
        <x:f>IF('25_DIAPHRAGM'!I13="","PENDING",'25_DIAPHRAGM'!I13)</x:f>
        <x:v>PENDING</x:v>
      </x:c>
      <x:c r="D15" s="152" t="str">
        <x:f>IF(OR(C15="PASS",C15="REVIEW",C15="REVIEWED"),"VERIFIED / REVIEW","PENDING")</x:f>
        <x:v>PENDING</x:v>
      </x:c>
      <x:c r="E15" s="152" t="str">
        <x:v>PENDING</x:v>
      </x:c>
      <x:c r="F15" s="152" t="str">
        <x:v>ENGINEER REVIEW</x:v>
      </x:c>
      <x:c r="G15" s="152" t="str">
        <x:f>IF(C15="FAIL","FAIL",IF(OR(C15="PENDING",D15="PENDING",E15="PENDING",F15="PENDING"),"PENDING","REVIEW"))</x:f>
        <x:v>PENDING</x:v>
      </x:c>
      <x:c r="H15" s="152" t="str">
        <x:v>25_DIAPHRAGM</x:v>
      </x:c>
    </x:row>
    <x:row r="16">
      <x:c r="B16" s="152" t="str">
        <x:v>Connections</x:v>
      </x:c>
      <x:c r="C16" s="152" t="str">
        <x:f>IF('28_CONNECTIONS'!I13="","PENDING",'28_CONNECTIONS'!I13)</x:f>
        <x:v>PENDING</x:v>
      </x:c>
      <x:c r="D16" s="152" t="str">
        <x:f>IF(OR(C16="PASS",C16="REVIEW",C16="REVIEWED"),"VERIFIED / REVIEW","PENDING")</x:f>
        <x:v>PENDING</x:v>
      </x:c>
      <x:c r="E16" s="152" t="str">
        <x:v>PENDING</x:v>
      </x:c>
      <x:c r="F16" s="152" t="str">
        <x:v>ENGINEER REVIEW</x:v>
      </x:c>
      <x:c r="G16" s="152" t="str">
        <x:f>IF(C16="FAIL","FAIL",IF(OR(C16="PENDING",D16="PENDING",E16="PENDING",F16="PENDING"),"PENDING","REVIEW"))</x:f>
        <x:v>PENDING</x:v>
      </x:c>
      <x:c r="H16" s="152" t="str">
        <x:v>28_CONNECTIONS</x:v>
      </x:c>
    </x:row>
    <x:row r="17">
      <x:c r="B17" s="152" t="str">
        <x:v>Holdowns</x:v>
      </x:c>
      <x:c r="C17" s="152" t="str">
        <x:f>IF('29_HOLDOWN'!I13="","PENDING",'29_HOLDOWN'!I13)</x:f>
        <x:v>PENDING</x:v>
      </x:c>
      <x:c r="D17" s="152" t="str">
        <x:f>IF(OR(C17="PASS",C17="REVIEW",C17="REVIEWED"),"VERIFIED / REVIEW","PENDING")</x:f>
        <x:v>PENDING</x:v>
      </x:c>
      <x:c r="E17" s="152" t="str">
        <x:v>PENDING</x:v>
      </x:c>
      <x:c r="F17" s="152" t="str">
        <x:v>ENGINEER REVIEW</x:v>
      </x:c>
      <x:c r="G17" s="152" t="str">
        <x:f>IF(C17="FAIL","FAIL",IF(OR(C17="PENDING",D17="PENDING",E17="PENDING",F17="PENDING"),"PENDING","REVIEW"))</x:f>
        <x:v>PENDING</x:v>
      </x:c>
      <x:c r="H17" s="152" t="str">
        <x:v>29_HOLDOWN</x:v>
      </x:c>
    </x:row>
    <x:row r="18">
      <x:c r="B18" s="152" t="str">
        <x:v>Sill / Anchors</x:v>
      </x:c>
      <x:c r="C18" s="152" t="str">
        <x:f>IF('30_SILL_ANCHOR'!I13="","PENDING",'30_SILL_ANCHOR'!I13)</x:f>
        <x:v>PENDING</x:v>
      </x:c>
      <x:c r="D18" s="152" t="str">
        <x:f>IF(OR(C18="PASS",C18="REVIEW",C18="REVIEWED"),"VERIFIED / REVIEW","PENDING")</x:f>
        <x:v>PENDING</x:v>
      </x:c>
      <x:c r="E18" s="152" t="str">
        <x:v>PENDING</x:v>
      </x:c>
      <x:c r="F18" s="152" t="str">
        <x:v>ENGINEER REVIEW</x:v>
      </x:c>
      <x:c r="G18" s="152" t="str">
        <x:f>IF(C18="FAIL","FAIL",IF(OR(C18="PENDING",D18="PENDING",E18="PENDING",F18="PENDING"),"PENDING","REVIEW"))</x:f>
        <x:v>PENDING</x:v>
      </x:c>
      <x:c r="H18" s="152" t="str">
        <x:v>30_SILL_ANCHOR</x:v>
      </x:c>
    </x:row>
    <x:row r="19">
      <x:c r="B19" s="152" t="str">
        <x:v>Collectors / Chords</x:v>
      </x:c>
      <x:c r="C19" s="152" t="str">
        <x:f>IF('31_COLLECTOR_CHORD'!I12="","PENDING",'31_COLLECTOR_CHORD'!I12)</x:f>
        <x:v>PENDING</x:v>
      </x:c>
      <x:c r="D19" s="152" t="str">
        <x:f>IF(OR(C19="PASS",C19="REVIEW",C19="REVIEWED"),"VERIFIED / REVIEW","PENDING")</x:f>
        <x:v>PENDING</x:v>
      </x:c>
      <x:c r="E19" s="152" t="str">
        <x:v>PENDING</x:v>
      </x:c>
      <x:c r="F19" s="152" t="str">
        <x:v>ENGINEER REVIEW</x:v>
      </x:c>
      <x:c r="G19" s="152" t="str">
        <x:f>IF(C19="FAIL","FAIL",IF(OR(C19="PENDING",D19="PENDING",E19="PENDING",F19="PENDING"),"PENDING","REVIEW"))</x:f>
        <x:v>PENDING</x:v>
      </x:c>
      <x:c r="H19" s="152" t="str">
        <x:v>31_COLLECTOR_CHORD</x:v>
      </x:c>
    </x:row>
    <x:row r="20">
      <x:c r="B20" s="152" t="str">
        <x:v>Foundation</x:v>
      </x:c>
      <x:c r="C20" s="152" t="str">
        <x:f>IF('36_FOUNDATION'!I14="","PENDING",'36_FOUNDATION'!I14)</x:f>
        <x:v>PENDING</x:v>
      </x:c>
      <x:c r="D20" s="152" t="str">
        <x:f>IF(OR(C20="PASS",C20="REVIEW",C20="REVIEWED"),"VERIFIED / REVIEW","PENDING")</x:f>
        <x:v>PENDING</x:v>
      </x:c>
      <x:c r="E20" s="152" t="str">
        <x:v>PENDING</x:v>
      </x:c>
      <x:c r="F20" s="152" t="str">
        <x:v>ENGINEER REVIEW</x:v>
      </x:c>
      <x:c r="G20" s="152" t="str">
        <x:f>IF(C20="FAIL","FAIL",IF(OR(C20="PENDING",D20="PENDING",E20="PENDING",F20="PENDING"),"PENDING","REVIEW"))</x:f>
        <x:v>PENDING</x:v>
      </x:c>
      <x:c r="H20" s="152" t="str">
        <x:v>36_FOUNDATION</x:v>
      </x:c>
    </x:row>
    <x:row r="21">
      <x:c r="B21" s="152" t="str">
        <x:v>Change / Revision Reconciliation</x:v>
      </x:c>
      <x:c r="C21" s="152" t="str">
        <x:f>IF(COUNTA('00_CHANGE_IMPACT'!B7:B26)=0,"N/A","DEFINED")</x:f>
        <x:v>N/A</x:v>
      </x:c>
      <x:c r="D21" s="152" t="str">
        <x:f>IF(C21="N/A","N/A",IF(COUNTIF('00_CHANGE_IMPACT'!P7:P26,"REJECTED")&gt;0,"FAIL","REVIEW"))</x:f>
        <x:v>N/A</x:v>
      </x:c>
      <x:c r="E21" s="152" t="str">
        <x:f>IF(C21="N/A","N/A",IF(COUNTIF('00_CHANGE_IMPACT'!O7:O26,"MISMATCH")&gt;0,"MISMATCH","REVIEW"))</x:f>
        <x:v>N/A</x:v>
      </x:c>
      <x:c r="F21" s="152" t="str">
        <x:f>IF(C21="N/A","N/A",IF(COUNTIF('00_CHANGE_IMPACT'!P7:P26,"READY")=COUNTA('00_CHANGE_IMPACT'!B7:B26),"APPROVED","PENDING"))</x:f>
        <x:v>N/A</x:v>
      </x:c>
      <x:c r="G21" s="152" t="str">
        <x:f>IF(C21="N/A","N/A",IF(AND(D21&lt;&gt;"FAIL",E21&lt;&gt;"MISMATCH",F21="APPROVED"),"READY","PENDING"))</x:f>
        <x:v>N/A</x:v>
      </x:c>
      <x:c r="H21" s="152" t="str">
        <x:v>00_CHANGE_IMPACT</x:v>
      </x:c>
    </x:row>
    <x:row r="22">
      <x:c r="B22" s="140"/>
      <x:c r="C22" s="140"/>
      <x:c r="D22" s="140"/>
      <x:c r="E22" s="140"/>
      <x:c r="F22" s="140"/>
      <x:c r="G22" s="140"/>
      <x:c r="H22" s="140"/>
    </x:row>
    <x:row r="23">
      <x:c r="B23" s="140"/>
      <x:c r="C23" s="140"/>
      <x:c r="D23" s="140"/>
      <x:c r="E23" s="140"/>
      <x:c r="F23" s="140"/>
      <x:c r="G23" s="140"/>
      <x:c r="H23" s="140"/>
    </x:row>
    <x:row r="24">
      <x:c r="B24" s="473" t="str">
        <x:v>OVERALL PROJECT ISSUE STATUS</x:v>
      </x:c>
      <x:c r="C24" s="473"/>
      <x:c r="D24" s="473"/>
      <x:c r="E24" s="473"/>
      <x:c r="F24" s="473"/>
      <x:c r="G24" s="540" t="str">
        <x:f>IF(COUNTIF(G7:G20,"FAIL")&gt;0,"FAIL",IF(COUNTIF(G7:G20,"PENDING")&gt;0,"PENDING","REVIEW / APPROVAL"))</x:f>
        <x:v>PENDING</x:v>
      </x:c>
      <x:c r="H24" s="140" t="str">
        <x:v>No issue until all applicable gates are cleared.</x:v>
      </x:c>
    </x:row>
    <x:row r="25">
      <x:c r="B25" s="140"/>
      <x:c r="C25" s="140"/>
      <x:c r="D25" s="140"/>
      <x:c r="E25" s="140"/>
      <x:c r="F25" s="140"/>
      <x:c r="G25" s="140"/>
      <x:c r="H25" s="140"/>
    </x:row>
    <x:row r="26">
      <x:c r="B26" s="140"/>
      <x:c r="C26" s="140"/>
      <x:c r="D26" s="140"/>
      <x:c r="E26" s="140"/>
      <x:c r="F26" s="140"/>
      <x:c r="G26" s="140"/>
      <x:c r="H26" s="140"/>
    </x:row>
    <x:row r="27">
      <x:c r="B27" s="140"/>
      <x:c r="C27" s="140"/>
      <x:c r="D27" s="140"/>
      <x:c r="E27" s="140"/>
      <x:c r="F27" s="140"/>
      <x:c r="G27" s="140"/>
      <x:c r="H27" s="140"/>
    </x:row>
    <x:row r="28">
      <x:c r="B28" s="140"/>
      <x:c r="C28" s="140"/>
      <x:c r="D28" s="140"/>
      <x:c r="E28" s="140"/>
      <x:c r="F28" s="140"/>
      <x:c r="G28" s="140"/>
      <x:c r="H28" s="140"/>
    </x:row>
  </x:sheetData>
  <x:mergeCells>
    <x:mergeCell ref="B2:H2"/>
    <x:mergeCell ref="B4:H4"/>
    <x:mergeCell ref="B24:F24"/>
  </x:mergeCells>
  <x:conditionalFormatting sqref="C7:G24">
    <x:cfRule type="expression" dxfId="161" priority="1">
      <x:formula>C7="FAIL"</x:formula>
    </x:cfRule>
  </x:conditionalFormatting>
  <x:conditionalFormatting sqref="G7:G7">
    <x:cfRule type="expression" dxfId="162" priority="2">
      <x:formula>G7="READY"</x:formula>
    </x:cfRule>
    <x:cfRule type="expression" dxfId="163" priority="3">
      <x:formula>G7="FAIL"</x:formula>
    </x:cfRule>
    <x:cfRule type="expression" dxfId="164" priority="4">
      <x:formula>OR(G7="PENDING",G7="REVIEW",G7="REVIEW / APPROVAL")</x:formula>
    </x:cfRule>
  </x:conditionalFormatting>
  <x:conditionalFormatting sqref="G8:G8">
    <x:cfRule type="expression" dxfId="165" priority="5">
      <x:formula>G8="READY"</x:formula>
    </x:cfRule>
    <x:cfRule type="expression" dxfId="166" priority="6">
      <x:formula>G8="FAIL"</x:formula>
    </x:cfRule>
    <x:cfRule type="expression" dxfId="167" priority="7">
      <x:formula>OR(G8="PENDING",G8="REVIEW",G8="REVIEW / APPROVAL")</x:formula>
    </x:cfRule>
  </x:conditionalFormatting>
  <x:conditionalFormatting sqref="G9:G9">
    <x:cfRule type="expression" dxfId="168" priority="8">
      <x:formula>G9="READY"</x:formula>
    </x:cfRule>
    <x:cfRule type="expression" dxfId="169" priority="9">
      <x:formula>G9="FAIL"</x:formula>
    </x:cfRule>
    <x:cfRule type="expression" dxfId="170" priority="10">
      <x:formula>OR(G9="PENDING",G9="REVIEW",G9="REVIEW / APPROVAL")</x:formula>
    </x:cfRule>
  </x:conditionalFormatting>
  <x:conditionalFormatting sqref="G10:G10">
    <x:cfRule type="expression" dxfId="171" priority="11">
      <x:formula>G10="READY"</x:formula>
    </x:cfRule>
    <x:cfRule type="expression" dxfId="172" priority="12">
      <x:formula>G10="FAIL"</x:formula>
    </x:cfRule>
    <x:cfRule type="expression" dxfId="173" priority="13">
      <x:formula>OR(G10="PENDING",G10="REVIEW",G10="REVIEW / APPROVAL")</x:formula>
    </x:cfRule>
  </x:conditionalFormatting>
  <x:conditionalFormatting sqref="G11:G11">
    <x:cfRule type="expression" dxfId="174" priority="14">
      <x:formula>G11="READY"</x:formula>
    </x:cfRule>
    <x:cfRule type="expression" dxfId="175" priority="15">
      <x:formula>G11="FAIL"</x:formula>
    </x:cfRule>
    <x:cfRule type="expression" dxfId="176" priority="16">
      <x:formula>OR(G11="PENDING",G11="REVIEW",G11="REVIEW / APPROVAL")</x:formula>
    </x:cfRule>
  </x:conditionalFormatting>
  <x:conditionalFormatting sqref="G12:G12">
    <x:cfRule type="expression" dxfId="177" priority="17">
      <x:formula>G12="READY"</x:formula>
    </x:cfRule>
    <x:cfRule type="expression" dxfId="178" priority="18">
      <x:formula>G12="FAIL"</x:formula>
    </x:cfRule>
    <x:cfRule type="expression" dxfId="179" priority="19">
      <x:formula>OR(G12="PENDING",G12="REVIEW",G12="REVIEW / APPROVAL")</x:formula>
    </x:cfRule>
  </x:conditionalFormatting>
  <x:conditionalFormatting sqref="G13:G13">
    <x:cfRule type="expression" dxfId="180" priority="20">
      <x:formula>G13="READY"</x:formula>
    </x:cfRule>
    <x:cfRule type="expression" dxfId="181" priority="21">
      <x:formula>G13="FAIL"</x:formula>
    </x:cfRule>
    <x:cfRule type="expression" dxfId="182" priority="22">
      <x:formula>OR(G13="PENDING",G13="REVIEW",G13="REVIEW / APPROVAL")</x:formula>
    </x:cfRule>
  </x:conditionalFormatting>
  <x:conditionalFormatting sqref="G14:G14">
    <x:cfRule type="expression" dxfId="183" priority="23">
      <x:formula>G14="READY"</x:formula>
    </x:cfRule>
    <x:cfRule type="expression" dxfId="184" priority="24">
      <x:formula>G14="FAIL"</x:formula>
    </x:cfRule>
    <x:cfRule type="expression" dxfId="185" priority="25">
      <x:formula>OR(G14="PENDING",G14="REVIEW",G14="REVIEW / APPROVAL")</x:formula>
    </x:cfRule>
  </x:conditionalFormatting>
  <x:conditionalFormatting sqref="G15:G15">
    <x:cfRule type="expression" dxfId="186" priority="26">
      <x:formula>G15="READY"</x:formula>
    </x:cfRule>
    <x:cfRule type="expression" dxfId="187" priority="27">
      <x:formula>G15="FAIL"</x:formula>
    </x:cfRule>
    <x:cfRule type="expression" dxfId="188" priority="28">
      <x:formula>OR(G15="PENDING",G15="REVIEW",G15="REVIEW / APPROVAL")</x:formula>
    </x:cfRule>
  </x:conditionalFormatting>
  <x:conditionalFormatting sqref="G16:G16">
    <x:cfRule type="expression" dxfId="189" priority="29">
      <x:formula>G16="READY"</x:formula>
    </x:cfRule>
    <x:cfRule type="expression" dxfId="190" priority="30">
      <x:formula>G16="FAIL"</x:formula>
    </x:cfRule>
    <x:cfRule type="expression" dxfId="191" priority="31">
      <x:formula>OR(G16="PENDING",G16="REVIEW",G16="REVIEW / APPROVAL")</x:formula>
    </x:cfRule>
  </x:conditionalFormatting>
  <x:conditionalFormatting sqref="G17:G17">
    <x:cfRule type="expression" dxfId="192" priority="32">
      <x:formula>G17="READY"</x:formula>
    </x:cfRule>
    <x:cfRule type="expression" dxfId="193" priority="33">
      <x:formula>G17="FAIL"</x:formula>
    </x:cfRule>
    <x:cfRule type="expression" dxfId="194" priority="34">
      <x:formula>OR(G17="PENDING",G17="REVIEW",G17="REVIEW / APPROVAL")</x:formula>
    </x:cfRule>
  </x:conditionalFormatting>
  <x:conditionalFormatting sqref="G18:G18">
    <x:cfRule type="expression" dxfId="195" priority="35">
      <x:formula>G18="READY"</x:formula>
    </x:cfRule>
    <x:cfRule type="expression" dxfId="196" priority="36">
      <x:formula>G18="FAIL"</x:formula>
    </x:cfRule>
    <x:cfRule type="expression" dxfId="197" priority="37">
      <x:formula>OR(G18="PENDING",G18="REVIEW",G18="REVIEW / APPROVAL")</x:formula>
    </x:cfRule>
  </x:conditionalFormatting>
  <x:conditionalFormatting sqref="G19:G19">
    <x:cfRule type="expression" dxfId="198" priority="38">
      <x:formula>G19="READY"</x:formula>
    </x:cfRule>
    <x:cfRule type="expression" dxfId="199" priority="39">
      <x:formula>G19="FAIL"</x:formula>
    </x:cfRule>
    <x:cfRule type="expression" dxfId="200" priority="40">
      <x:formula>OR(G19="PENDING",G19="REVIEW",G19="REVIEW / APPROVAL")</x:formula>
    </x:cfRule>
  </x:conditionalFormatting>
  <x:conditionalFormatting sqref="G20:G20">
    <x:cfRule type="expression" dxfId="201" priority="41">
      <x:formula>G20="READY"</x:formula>
    </x:cfRule>
    <x:cfRule type="expression" dxfId="202" priority="42">
      <x:formula>G20="FAIL"</x:formula>
    </x:cfRule>
    <x:cfRule type="expression" dxfId="203" priority="43">
      <x:formula>OR(G20="PENDING",G20="REVIEW",G20="REVIEW / APPROVAL")</x:formula>
    </x:cfRule>
  </x:conditionalFormatting>
  <x:conditionalFormatting sqref="G21:G21">
    <x:cfRule type="expression" dxfId="204" priority="44">
      <x:formula>G21="READY"</x:formula>
    </x:cfRule>
    <x:cfRule type="expression" dxfId="205" priority="45">
      <x:formula>G21="FAIL"</x:formula>
    </x:cfRule>
    <x:cfRule type="expression" dxfId="206" priority="46">
      <x:formula>OR(G21="PENDING",G21="REVIEW",G21="REVIEW / APPROVAL")</x:formula>
    </x:cfRule>
  </x:conditionalFormatting>
  <x:conditionalFormatting sqref="G22:G22">
    <x:cfRule type="expression" dxfId="207" priority="47">
      <x:formula>G22="READY"</x:formula>
    </x:cfRule>
    <x:cfRule type="expression" dxfId="208" priority="48">
      <x:formula>G22="FAIL"</x:formula>
    </x:cfRule>
    <x:cfRule type="expression" dxfId="209" priority="49">
      <x:formula>OR(G22="PENDING",G22="REVIEW",G22="REVIEW / APPROVAL")</x:formula>
    </x:cfRule>
  </x:conditionalFormatting>
  <x:conditionalFormatting sqref="G23:G23">
    <x:cfRule type="expression" dxfId="210" priority="50">
      <x:formula>G23="READY"</x:formula>
    </x:cfRule>
    <x:cfRule type="expression" dxfId="211" priority="51">
      <x:formula>G23="FAIL"</x:formula>
    </x:cfRule>
    <x:cfRule type="expression" dxfId="212" priority="52">
      <x:formula>OR(G23="PENDING",G23="REVIEW",G23="REVIEW / APPROVAL")</x:formula>
    </x:cfRule>
  </x:conditionalFormatting>
  <x:conditionalFormatting sqref="G24:G24">
    <x:cfRule type="expression" dxfId="213" priority="53">
      <x:formula>G24="READY"</x:formula>
    </x:cfRule>
    <x:cfRule type="expression" dxfId="214" priority="54">
      <x:formula>G24="FAIL"</x:formula>
    </x:cfRule>
    <x:cfRule type="expression" dxfId="215" priority="55">
      <x:formula>OR(G24="PENDING",G24="REVIEW",G24="REVIEW / APPROVAL")</x:formula>
    </x:cfRule>
  </x:conditionalFormatting>
  <x:pageMargins left="0.7" right="0.7" top="0.75" bottom="0.75" header="0.3" footer="0.3"/>
</x:worksheet>
</file>

<file path=xl/worksheets/sheet46.xml><?xml version="1.0" encoding="utf-8"?>
<x:worksheet xmlns:x="http://schemas.openxmlformats.org/spreadsheetml/2006/main">
  <x:sheetFormatPr defaultRowHeight="15"/>
  <x:cols>
    <x:col min="2" max="2" width="20" hidden="0" customWidth="1"/>
    <x:col min="3" max="3" width="34" hidden="0" customWidth="1"/>
    <x:col min="4" max="4" width="28" hidden="0" customWidth="1"/>
    <x:col min="5" max="5" width="28" hidden="0" customWidth="1"/>
    <x:col min="6" max="6" width="18" hidden="0" customWidth="1"/>
    <x:col min="7" max="7" width="18" hidden="0" customWidth="1"/>
    <x:col min="8" max="8" width="28" hidden="0" customWidth="1"/>
  </x:cols>
  <x:sheetData>
    <x:row r="1">
      <x:c r="B1" s="140"/>
      <x:c r="C1" s="140"/>
      <x:c r="D1" s="140"/>
      <x:c r="E1" s="140"/>
      <x:c r="F1" s="140"/>
      <x:c r="G1" s="140"/>
      <x:c r="H1" s="140"/>
    </x:row>
    <x:row r="2" ht="28" customHeight="1">
      <x:c r="B2" s="599" t="str">
        <x:v>PROJECT README — FUNCTION FIRST / VERIFICATION SECOND / DESIGN AS BY-PRODUCT</x:v>
      </x:c>
      <x:c r="C2" s="599"/>
      <x:c r="D2" s="599"/>
      <x:c r="E2" s="599"/>
      <x:c r="F2" s="599"/>
      <x:c r="G2" s="599"/>
      <x:c r="H2" s="599"/>
    </x:row>
    <x:row r="3">
      <x:c r="B3" s="140"/>
      <x:c r="C3" s="140"/>
      <x:c r="D3" s="140"/>
      <x:c r="E3" s="140"/>
      <x:c r="F3" s="140"/>
      <x:c r="G3" s="140"/>
      <x:c r="H3" s="140"/>
    </x:row>
    <x:row r="4">
      <x:c r="B4" s="601" t="str">
        <x:v>Purpose: preserve the product architecture and decisions made while building the engineering workbook so the app can be developed without re-deriving the concept. The system is not intended to replace professional judgment. It is intended to remove repetitive handoff failures, forgotten revisions, duplicate entry, and disconnected calculations by making each building item a documented working object.</x:v>
      </x:c>
      <x:c r="C4" s="601"/>
      <x:c r="D4" s="601"/>
      <x:c r="E4" s="601"/>
      <x:c r="F4" s="601"/>
      <x:c r="G4" s="601"/>
      <x:c r="H4" s="601"/>
    </x:row>
    <x:row r="5">
      <x:c r="B5" s="601"/>
      <x:c r="C5" s="601"/>
      <x:c r="D5" s="601"/>
      <x:c r="E5" s="601"/>
      <x:c r="F5" s="601"/>
      <x:c r="G5" s="601"/>
      <x:c r="H5" s="601"/>
    </x:row>
    <x:row r="6">
      <x:c r="B6" s="601"/>
      <x:c r="C6" s="601"/>
      <x:c r="D6" s="601"/>
      <x:c r="E6" s="601"/>
      <x:c r="F6" s="601"/>
      <x:c r="G6" s="601"/>
      <x:c r="H6" s="601"/>
    </x:row>
    <x:row r="7">
      <x:c r="B7" s="140"/>
      <x:c r="C7" s="140"/>
      <x:c r="D7" s="140"/>
      <x:c r="E7" s="140"/>
      <x:c r="F7" s="140"/>
      <x:c r="G7" s="140"/>
      <x:c r="H7" s="140"/>
    </x:row>
    <x:row r="8">
      <x:c r="B8" s="604" t="str">
        <x:v>1. CORE PRODUCT PRINCIPLE</x:v>
      </x:c>
      <x:c r="C8" s="604"/>
      <x:c r="D8" s="604"/>
      <x:c r="E8" s="604"/>
      <x:c r="F8" s="604"/>
      <x:c r="G8" s="604"/>
      <x:c r="H8" s="604"/>
    </x:row>
    <x:row r="9">
      <x:c r="B9" s="610" t="str">
        <x:v>Principle</x:v>
      </x:c>
      <x:c r="C9" s="610" t="str">
        <x:v>Meaning</x:v>
      </x:c>
      <x:c r="D9" s="610"/>
      <x:c r="E9" s="610"/>
      <x:c r="F9" s="610"/>
      <x:c r="G9" s="610"/>
      <x:c r="H9" s="610"/>
    </x:row>
    <x:row r="10">
      <x:c r="B10" s="612" t="str">
        <x:v>Function first</x:v>
      </x:c>
      <x:c r="C10" s="612" t="str">
        <x:v>Define what the item must do and everything required for it to work.</x:v>
      </x:c>
      <x:c r="D10" s="612"/>
      <x:c r="E10" s="612"/>
      <x:c r="F10" s="612"/>
      <x:c r="G10" s="612"/>
      <x:c r="H10" s="612"/>
    </x:row>
    <x:row r="11">
      <x:c r="B11" s="612" t="str">
        <x:v>Verification second</x:v>
      </x:c>
      <x:c r="C11" s="612" t="str">
        <x:v>Prove completeness, source validity, capacity/demand, geometry rules, and load-path continuity.</x:v>
      </x:c>
      <x:c r="D11" s="612"/>
      <x:c r="E11" s="612"/>
      <x:c r="F11" s="612"/>
      <x:c r="G11" s="612"/>
      <x:c r="H11" s="612"/>
    </x:row>
    <x:row r="12">
      <x:c r="B12" s="612" t="str">
        <x:v>Design is the by-product</x:v>
      </x:c>
      <x:c r="C12" s="612" t="str">
        <x:v>Plans, schedules, details, notes, and dimensions are synchronized representations of the verified project model.</x:v>
      </x:c>
      <x:c r="D12" s="612"/>
      <x:c r="E12" s="612"/>
      <x:c r="F12" s="612"/>
      <x:c r="G12" s="612"/>
      <x:c r="H12" s="612"/>
    </x:row>
    <x:row r="13">
      <x:c r="B13" s="612" t="str">
        <x:v>Automation does the work</x:v>
      </x:c>
      <x:c r="C13" s="612" t="str">
        <x:v>The system detects, calculates, traces dependencies, and prepares revisions.</x:v>
      </x:c>
      <x:c r="D13" s="612"/>
      <x:c r="E13" s="612"/>
      <x:c r="F13" s="612"/>
      <x:c r="G13" s="612"/>
      <x:c r="H13" s="612"/>
    </x:row>
    <x:row r="14">
      <x:c r="B14" s="612" t="str">
        <x:v>Humans retain authority</x:v>
      </x:c>
      <x:c r="C14" s="612" t="str">
        <x:v>Detected geometry and proposed drawing changes require confirmation/approval before becoming authoritative.</x:v>
      </x:c>
      <x:c r="D14" s="612"/>
      <x:c r="E14" s="612"/>
      <x:c r="F14" s="612"/>
      <x:c r="G14" s="612"/>
      <x:c r="H14" s="612"/>
    </x:row>
    <x:row r="15">
      <x:c r="B15" s="140"/>
      <x:c r="C15" s="140"/>
      <x:c r="D15" s="140"/>
      <x:c r="E15" s="140"/>
      <x:c r="F15" s="140"/>
      <x:c r="G15" s="140"/>
      <x:c r="H15" s="140"/>
    </x:row>
    <x:row r="16">
      <x:c r="B16" s="604" t="str">
        <x:v>2. HUMAN INTERFACE VS ENGINE</x:v>
      </x:c>
      <x:c r="C16" s="604"/>
      <x:c r="D16" s="604"/>
      <x:c r="E16" s="604"/>
      <x:c r="F16" s="604"/>
      <x:c r="G16" s="604"/>
      <x:c r="H16" s="604"/>
    </x:row>
    <x:row r="17">
      <x:c r="B17" s="610" t="str">
        <x:v>Layer</x:v>
      </x:c>
      <x:c r="C17" s="610" t="str">
        <x:v>Human sees / does</x:v>
      </x:c>
      <x:c r="D17" s="610" t="str">
        <x:v>Engine stores / does</x:v>
      </x:c>
      <x:c r="E17" s="610" t="str">
        <x:v>Rule</x:v>
      </x:c>
      <x:c r="F17" s="610"/>
      <x:c r="G17" s="610"/>
      <x:c r="H17" s="610"/>
    </x:row>
    <x:row r="18">
      <x:c r="B18" s="612" t="str">
        <x:v>Project Setup</x:v>
      </x:c>
      <x:c r="C18" s="612" t="str">
        <x:v>A small number of real project decisions.</x:v>
      </x:c>
      <x:c r="D18" s="612" t="str">
        <x:v>Full engineering schema.</x:v>
      </x:c>
      <x:c r="E18" s="612" t="str">
        <x:v>Do not expose backend code-table values as routine inputs.</x:v>
      </x:c>
      <x:c r="F18" s="612"/>
      <x:c r="G18" s="612"/>
      <x:c r="H18" s="612"/>
    </x:row>
    <x:row r="19">
      <x:c r="B19" s="612" t="str">
        <x:v>CAD Confirmation</x:v>
      </x:c>
      <x:c r="C19" s="612" t="str">
        <x:v>Confirm/edit detected rooms, walls, openings, spans, sizes, etc.</x:v>
      </x:c>
      <x:c r="D19" s="612" t="str">
        <x:v>Coordinates, entity IDs, geometry, confidence, provenance.</x:v>
      </x:c>
      <x:c r="E19" s="612" t="str">
        <x:v>Detection is a proposal until confirmed.</x:v>
      </x:c>
      <x:c r="F19" s="612"/>
      <x:c r="G19" s="612"/>
      <x:c r="H19" s="612"/>
    </x:row>
    <x:row r="20">
      <x:c r="B20" s="612" t="str">
        <x:v>Semantic Object Model</x:v>
      </x:c>
      <x:c r="C20" s="612" t="str">
        <x:v>Primary Bedroom East Wall, Beam B4, Footing F3.</x:v>
      </x:c>
      <x:c r="D20" s="612" t="str">
        <x:v>UUIDs, coordinates, relationships, dependency graph.</x:v>
      </x:c>
      <x:c r="E20" s="612" t="str">
        <x:v>Humans work with building objects; engine works with geometry.</x:v>
      </x:c>
      <x:c r="F20" s="612"/>
      <x:c r="G20" s="612"/>
      <x:c r="H20" s="612"/>
    </x:row>
    <x:row r="21">
      <x:c r="B21" s="612" t="str">
        <x:v>Calculations</x:v>
      </x:c>
      <x:c r="C21" s="612" t="str">
        <x:v>Review results, failures, assumptions and sources.</x:v>
      </x:c>
      <x:c r="D21" s="612" t="str">
        <x:v>Equations, source-controlled values, QA, longhand trace.</x:v>
      </x:c>
      <x:c r="E21" s="612" t="str">
        <x:v>No silent assumptions.</x:v>
      </x:c>
      <x:c r="F21" s="612"/>
      <x:c r="G21" s="612"/>
      <x:c r="H21" s="612"/>
    </x:row>
    <x:row r="22">
      <x:c r="B22" s="612" t="str">
        <x:v>Change Impact</x:v>
      </x:c>
      <x:c r="C22" s="612" t="str">
        <x:v>Approve/reject proposed revisions.</x:v>
      </x:c>
      <x:c r="D22" s="612" t="str">
        <x:v>Find every dependent calc and CAD representation.</x:v>
      </x:c>
      <x:c r="E22" s="612" t="str">
        <x:v>No silent drawing mutation.</x:v>
      </x:c>
      <x:c r="F22" s="612"/>
      <x:c r="G22" s="612"/>
      <x:c r="H22" s="612"/>
    </x:row>
    <x:row r="23">
      <x:c r="B23" s="612" t="str">
        <x:v>Issue Gate</x:v>
      </x:c>
      <x:c r="C23" s="612" t="str">
        <x:v>Know whether the set is actually ready.</x:v>
      </x:c>
      <x:c r="D23" s="612" t="str">
        <x:v>Function + verification + sync + approval state.</x:v>
      </x:c>
      <x:c r="E23" s="612" t="str">
        <x:v>A drawing that looks finished is not necessarily issue-ready.</x:v>
      </x:c>
      <x:c r="F23" s="612"/>
      <x:c r="G23" s="612"/>
      <x:c r="H23" s="612"/>
    </x:row>
    <x:row r="24">
      <x:c r="B24" s="140"/>
      <x:c r="C24" s="140"/>
      <x:c r="D24" s="140"/>
      <x:c r="E24" s="140"/>
      <x:c r="F24" s="140"/>
      <x:c r="G24" s="140"/>
      <x:c r="H24" s="140"/>
    </x:row>
    <x:row r="25">
      <x:c r="B25" s="604" t="str">
        <x:v>3. WHAT A WORKING OBJECT IS</x:v>
      </x:c>
      <x:c r="C25" s="604"/>
      <x:c r="D25" s="604"/>
      <x:c r="E25" s="604"/>
      <x:c r="F25" s="604"/>
      <x:c r="G25" s="604"/>
      <x:c r="H25" s="604"/>
    </x:row>
    <x:row r="26">
      <x:c r="B26" s="610" t="str">
        <x:v>Term</x:v>
      </x:c>
      <x:c r="C26" s="610" t="str">
        <x:v>Definition</x:v>
      </x:c>
      <x:c r="D26" s="610" t="str">
        <x:v>Example</x:v>
      </x:c>
      <x:c r="E26" s="610" t="str">
        <x:v>Key idea</x:v>
      </x:c>
      <x:c r="F26" s="610"/>
      <x:c r="G26" s="610"/>
      <x:c r="H26" s="610"/>
    </x:row>
    <x:row r="27">
      <x:c r="B27" s="612" t="str">
        <x:v>Design Object</x:v>
      </x:c>
      <x:c r="C27" s="612" t="str">
        <x:v>A persistent project item with function, geometry, relationships, verification, sources and representations.</x:v>
      </x:c>
      <x:c r="D27" s="612" t="str">
        <x:v>STRUCT.BEAM.B4</x:v>
      </x:c>
      <x:c r="E27" s="612" t="str">
        <x:v>The object is the source of truth.</x:v>
      </x:c>
      <x:c r="F27" s="612"/>
      <x:c r="G27" s="612"/>
      <x:c r="H27" s="612"/>
    </x:row>
    <x:row r="28">
      <x:c r="B28" s="612" t="str">
        <x:v>Assembly</x:v>
      </x:c>
      <x:c r="C28" s="612" t="str">
        <x:v>A working object made from other objects/components/parts.</x:v>
      </x:c>
      <x:c r="D28" s="612" t="str">
        <x:v>STRUCT.SHEAR_WALL.SW3</x:v>
      </x:c>
      <x:c r="E28" s="612" t="str">
        <x:v>A shear wall includes more than sheathing graphics.</x:v>
      </x:c>
      <x:c r="F28" s="612"/>
      <x:c r="G28" s="612"/>
      <x:c r="H28" s="612"/>
    </x:row>
    <x:row r="29">
      <x:c r="B29" s="612" t="str">
        <x:v>Component</x:v>
      </x:c>
      <x:c r="C29" s="612" t="str">
        <x:v>Reusable functional definition used to instantiate project objects.</x:v>
      </x:c>
      <x:c r="D29" s="612" t="str">
        <x:v>HOLDOWN.TYPE.HD</x:v>
      </x:c>
      <x:c r="E29" s="612" t="str">
        <x:v>Component contains requirements/rules, not only graphics.</x:v>
      </x:c>
      <x:c r="F29" s="612"/>
      <x:c r="G29" s="612"/>
      <x:c r="H29" s="612"/>
    </x:row>
    <x:row r="30">
      <x:c r="B30" s="612" t="str">
        <x:v>Part</x:v>
      </x:c>
      <x:c r="C30" s="612" t="str">
        <x:v>A discrete physical item in an assembly.</x:v>
      </x:c>
      <x:c r="D30" s="612" t="str">
        <x:v>BOLT.0.5IN.A325</x:v>
      </x:c>
      <x:c r="E30" s="612" t="str">
        <x:v>Can become a quantity/cost item.</x:v>
      </x:c>
      <x:c r="F30" s="612"/>
      <x:c r="G30" s="612"/>
      <x:c r="H30" s="612"/>
    </x:row>
    <x:row r="31">
      <x:c r="B31" s="612" t="str">
        <x:v>Material</x:v>
      </x:c>
      <x:c r="C31" s="612" t="str">
        <x:v>Consumable/bulk material applied to parts/assemblies.</x:v>
      </x:c>
      <x:c r="D31" s="612" t="str">
        <x:v>CONCRETE.3000PSI</x:v>
      </x:c>
      <x:c r="E31" s="612" t="str">
        <x:v>Measured by volume/area/length/weight as appropriate.</x:v>
      </x:c>
      <x:c r="F31" s="612"/>
      <x:c r="G31" s="612"/>
      <x:c r="H31" s="612"/>
    </x:row>
    <x:row r="32">
      <x:c r="B32" s="612" t="str">
        <x:v>CAD Representation</x:v>
      </x:c>
      <x:c r="C32" s="612" t="str">
        <x:v>One graphical/document representation of an object.</x:v>
      </x:c>
      <x:c r="D32" s="612" t="str">
        <x:v>S1.1 entity 8AF3</x:v>
      </x:c>
      <x:c r="E32" s="612" t="str">
        <x:v>One object may appear on many sheets/details.</x:v>
      </x:c>
      <x:c r="F32" s="612"/>
      <x:c r="G32" s="612"/>
      <x:c r="H32" s="612"/>
    </x:row>
    <x:row r="33">
      <x:c r="B33" s="612" t="str">
        <x:v>Source Record</x:v>
      </x:c>
      <x:c r="C33" s="612" t="str">
        <x:v>Code table, ESR, manufacturer data, geotech report, API response, calculation output.</x:v>
      </x:c>
      <x:c r="D33" s="612" t="str">
        <x:v>SRC-28</x:v>
      </x:c>
      <x:c r="E33" s="612" t="str">
        <x:v>Every controlled value should remain traceable.</x:v>
      </x:c>
      <x:c r="F33" s="612"/>
      <x:c r="G33" s="612"/>
      <x:c r="H33" s="612"/>
    </x:row>
    <x:row r="34">
      <x:c r="B34" s="140"/>
      <x:c r="C34" s="140"/>
      <x:c r="D34" s="140"/>
      <x:c r="E34" s="140"/>
      <x:c r="F34" s="140"/>
      <x:c r="G34" s="140"/>
      <x:c r="H34" s="140"/>
    </x:row>
    <x:row r="35">
      <x:c r="B35" s="604" t="str">
        <x:v>4. OBJECT IDENTITY &amp; NAMING</x:v>
      </x:c>
      <x:c r="C35" s="604"/>
      <x:c r="D35" s="604"/>
      <x:c r="E35" s="604"/>
      <x:c r="F35" s="604"/>
      <x:c r="G35" s="604"/>
      <x:c r="H35" s="604"/>
    </x:row>
    <x:row r="36">
      <x:c r="B36" s="610" t="str">
        <x:v>Identity layer</x:v>
      </x:c>
      <x:c r="C36" s="610" t="str">
        <x:v>Example</x:v>
      </x:c>
      <x:c r="D36" s="610" t="str">
        <x:v>Behavior / rule</x:v>
      </x:c>
      <x:c r="E36" s="610" t="str">
        <x:v>Why it exists</x:v>
      </x:c>
      <x:c r="F36" s="610"/>
      <x:c r="G36" s="610"/>
      <x:c r="H36" s="610"/>
    </x:row>
    <x:row r="37">
      <x:c r="B37" s="612" t="str">
        <x:v>Permanent ID</x:v>
      </x:c>
      <x:c r="C37" s="612" t="str">
        <x:v>UUID: 6fd2…91a</x:v>
      </x:c>
      <x:c r="D37" s="612" t="str">
        <x:v>Never changes.</x:v>
      </x:c>
      <x:c r="E37" s="612" t="str">
        <x:v>Keeps relationships intact across renames/revisions.</x:v>
      </x:c>
      <x:c r="F37" s="612"/>
      <x:c r="G37" s="612"/>
      <x:c r="H37" s="612"/>
    </x:row>
    <x:row r="38">
      <x:c r="B38" s="612" t="str">
        <x:v>Human Name</x:v>
      </x:c>
      <x:c r="C38" s="612" t="str">
        <x:v>Primary Bedroom East Wall</x:v>
      </x:c>
      <x:c r="D38" s="612" t="str">
        <x:v>May be renamed.</x:v>
      </x:c>
      <x:c r="E38" s="612" t="str">
        <x:v>Clear communication among engineer, drafter, GC and reviewer.</x:v>
      </x:c>
      <x:c r="F38" s="612"/>
      <x:c r="G38" s="612"/>
      <x:c r="H38" s="612"/>
    </x:row>
    <x:row r="39">
      <x:c r="B39" s="612" t="str">
        <x:v>Semantic Tag</x:v>
      </x:c>
      <x:c r="C39" s="612" t="str">
        <x:v>ROOM.PRIMARY_BEDROOM.WALL.EAST</x:v>
      </x:c>
      <x:c r="D39" s="612" t="str">
        <x:v>Structured alias.</x:v>
      </x:c>
      <x:c r="E39" s="612" t="str">
        <x:v>Searchable, readable relationship path.</x:v>
      </x:c>
      <x:c r="F39" s="612"/>
      <x:c r="G39" s="612"/>
      <x:c r="H39" s="612"/>
    </x:row>
    <x:row r="40">
      <x:c r="B40" s="612" t="str">
        <x:v>Geometry</x:v>
      </x:c>
      <x:c r="C40" s="612" t="str">
        <x:v>X1/Y1/X2/Y2</x:v>
      </x:c>
      <x:c r="D40" s="612" t="str">
        <x:v>May change every revision.</x:v>
      </x:c>
      <x:c r="E40" s="612" t="str">
        <x:v>Precise math, intersections, spans, offsets and CAD write-back.</x:v>
      </x:c>
      <x:c r="F40" s="612"/>
      <x:c r="G40" s="612"/>
      <x:c r="H40" s="612"/>
    </x:row>
    <x:row r="41">
      <x:c r="B41" s="612" t="str">
        <x:v>Host relationship</x:v>
      </x:c>
      <x:c r="C41" s="612" t="str">
        <x:v>WINDOW.01 → PB East Wall</x:v>
      </x:c>
      <x:c r="D41" s="612" t="str">
        <x:v>Child follows host.</x:v>
      </x:c>
      <x:c r="E41" s="612" t="str">
        <x:v>Prevents disconnected geometry.</x:v>
      </x:c>
      <x:c r="F41" s="612"/>
      <x:c r="G41" s="612"/>
      <x:c r="H41" s="612"/>
    </x:row>
    <x:row r="42">
      <x:c r="B42" s="612" t="str">
        <x:v>Anchor rule</x:v>
      </x:c>
      <x:c r="C42" s="612" t="str">
        <x:v>KEEP_OFFSET_FROM_SOUTH_END</x:v>
      </x:c>
      <x:c r="D42" s="612" t="str">
        <x:v>Defines how child moves when host changes.</x:v>
      </x:c>
      <x:c r="E42" s="612" t="str">
        <x:v>Allows intelligent revisions.</x:v>
      </x:c>
      <x:c r="F42" s="612"/>
      <x:c r="G42" s="612"/>
      <x:c r="H42" s="612"/>
    </x:row>
    <x:row r="43">
      <x:c r="B43" s="612" t="str">
        <x:v>Dependency</x:v>
      </x:c>
      <x:c r="C43" s="612" t="str">
        <x:v>Beam B4 → posts → footings</x:v>
      </x:c>
      <x:c r="D43" s="612" t="str">
        <x:v>Recalculate downstream objects when parent changes.</x:v>
      </x:c>
      <x:c r="E43" s="612" t="str">
        <x:v>Impact graph replaces human memory.</x:v>
      </x:c>
      <x:c r="F43" s="612"/>
      <x:c r="G43" s="612"/>
      <x:c r="H43" s="612"/>
    </x:row>
    <x:row r="44">
      <x:c r="B44" s="612" t="str">
        <x:v>Verification state</x:v>
      </x:c>
      <x:c r="C44" s="612" t="str">
        <x:v>INCOMPLETE → CALCULATED → VERIFIED</x:v>
      </x:c>
      <x:c r="D44" s="612" t="str">
        <x:v>Tracks engineering readiness.</x:v>
      </x:c>
      <x:c r="E44" s="612" t="str">
        <x:v>Function must be proven.</x:v>
      </x:c>
      <x:c r="F44" s="612"/>
      <x:c r="G44" s="612"/>
      <x:c r="H44" s="612"/>
    </x:row>
    <x:row r="45">
      <x:c r="B45" s="612" t="str">
        <x:v>Approval state</x:v>
      </x:c>
      <x:c r="C45" s="612" t="str">
        <x:v>PENDING → APPROVED</x:v>
      </x:c>
      <x:c r="D45" s="612" t="str">
        <x:v>Tracks human authority.</x:v>
      </x:c>
      <x:c r="E45" s="612" t="str">
        <x:v>Automation cannot silently issue changes.</x:v>
      </x:c>
      <x:c r="F45" s="612"/>
      <x:c r="G45" s="612"/>
      <x:c r="H45" s="612"/>
    </x:row>
    <x:row r="46">
      <x:c r="B46" s="140"/>
      <x:c r="C46" s="140"/>
      <x:c r="D46" s="140"/>
      <x:c r="E46" s="140"/>
      <x:c r="F46" s="140"/>
      <x:c r="G46" s="140"/>
      <x:c r="H46" s="140"/>
    </x:row>
    <x:row r="47">
      <x:c r="B47" s="604" t="str">
        <x:v>5. CHANGE / REVISION WORKFLOW</x:v>
      </x:c>
      <x:c r="C47" s="604"/>
      <x:c r="D47" s="604"/>
      <x:c r="E47" s="604"/>
      <x:c r="F47" s="604"/>
      <x:c r="G47" s="604"/>
      <x:c r="H47" s="604"/>
    </x:row>
    <x:row r="48">
      <x:c r="B48" s="610" t="str">
        <x:v>Step</x:v>
      </x:c>
      <x:c r="C48" s="610" t="str">
        <x:v>System action</x:v>
      </x:c>
      <x:c r="D48" s="610" t="str">
        <x:v>Human action</x:v>
      </x:c>
      <x:c r="E48" s="610" t="str">
        <x:v>Output</x:v>
      </x:c>
      <x:c r="F48" s="610"/>
      <x:c r="G48" s="610"/>
      <x:c r="H48" s="610"/>
    </x:row>
    <x:row r="49">
      <x:c r="B49" s="612" t="str">
        <x:v>1</x:v>
      </x:c>
      <x:c r="C49" s="612" t="str">
        <x:v>Detect a change or receive a proposed change.</x:v>
      </x:c>
      <x:c r="D49" s="612" t="str">
        <x:v>Define intent if needed.</x:v>
      </x:c>
      <x:c r="E49" s="612" t="str">
        <x:v>Change request.</x:v>
      </x:c>
      <x:c r="F49" s="612"/>
      <x:c r="G49" s="612"/>
      <x:c r="H49" s="612"/>
    </x:row>
    <x:row r="50">
      <x:c r="B50" s="612" t="str">
        <x:v>2</x:v>
      </x:c>
      <x:c r="C50" s="612" t="str">
        <x:v>Resolve object relationships and geometry.</x:v>
      </x:c>
      <x:c r="D50" s="612" t="str">
        <x:v>None.</x:v>
      </x:c>
      <x:c r="E50" s="612" t="str">
        <x:v>Dependency set.</x:v>
      </x:c>
      <x:c r="F50" s="612"/>
      <x:c r="G50" s="612"/>
      <x:c r="H50" s="612"/>
    </x:row>
    <x:row r="51">
      <x:c r="B51" s="612" t="str">
        <x:v>3</x:v>
      </x:c>
      <x:c r="C51" s="612" t="str">
        <x:v>Recalculate affected functions.</x:v>
      </x:c>
      <x:c r="D51" s="612" t="str">
        <x:v>Review engineering assumptions if flagged.</x:v>
      </x:c>
      <x:c r="E51" s="612" t="str">
        <x:v>Updated verified/proposed calculations.</x:v>
      </x:c>
      <x:c r="F51" s="612"/>
      <x:c r="G51" s="612"/>
      <x:c r="H51" s="612"/>
    </x:row>
    <x:row r="52">
      <x:c r="B52" s="612" t="str">
        <x:v>4</x:v>
      </x:c>
      <x:c r="C52" s="612" t="str">
        <x:v>Find every affected CAD representation, schedule, note, detail and dimension.</x:v>
      </x:c>
      <x:c r="D52" s="612" t="str">
        <x:v>None.</x:v>
      </x:c>
      <x:c r="E52" s="612" t="str">
        <x:v>Impact set.</x:v>
      </x:c>
      <x:c r="F52" s="612"/>
      <x:c r="G52" s="612"/>
      <x:c r="H52" s="612"/>
    </x:row>
    <x:row r="53">
      <x:c r="B53" s="612" t="str">
        <x:v>5</x:v>
      </x:c>
      <x:c r="C53" s="612" t="str">
        <x:v>Prepare exact proposed DWG/document revisions.</x:v>
      </x:c>
      <x:c r="D53" s="612" t="str">
        <x:v>Engineer/drafter review.</x:v>
      </x:c>
      <x:c r="E53" s="612" t="str">
        <x:v>Preview.</x:v>
      </x:c>
      <x:c r="F53" s="612"/>
      <x:c r="G53" s="612"/>
      <x:c r="H53" s="612"/>
    </x:row>
    <x:row r="54">
      <x:c r="B54" s="612" t="str">
        <x:v>6</x:v>
      </x:c>
      <x:c r="C54" s="612" t="str">
        <x:v>Apply only approved changes.</x:v>
      </x:c>
      <x:c r="D54" s="612" t="str">
        <x:v>Approve/reject.</x:v>
      </x:c>
      <x:c r="E54" s="612" t="str">
        <x:v>Updated drawing set.</x:v>
      </x:c>
      <x:c r="F54" s="612"/>
      <x:c r="G54" s="612"/>
      <x:c r="H54" s="612"/>
    </x:row>
    <x:row r="55">
      <x:c r="B55" s="612" t="str">
        <x:v>7</x:v>
      </x:c>
      <x:c r="C55" s="612" t="str">
        <x:v>Re-scan model and drawings.</x:v>
      </x:c>
      <x:c r="D55" s="612" t="str">
        <x:v>Resolve mismatches.</x:v>
      </x:c>
      <x:c r="E55" s="612" t="str">
        <x:v>Reconciliation report.</x:v>
      </x:c>
      <x:c r="F55" s="612"/>
      <x:c r="G55" s="612"/>
      <x:c r="H55" s="612"/>
    </x:row>
    <x:row r="56">
      <x:c r="B56" s="612" t="str">
        <x:v>8</x:v>
      </x:c>
      <x:c r="C56" s="612" t="str">
        <x:v>Run issue gate.</x:v>
      </x:c>
      <x:c r="D56" s="612" t="str">
        <x:v>Final approval.</x:v>
      </x:c>
      <x:c r="E56" s="612" t="str">
        <x:v>Issue-ready or blocked.</x:v>
      </x:c>
      <x:c r="F56" s="612"/>
      <x:c r="G56" s="612"/>
      <x:c r="H56" s="612"/>
    </x:row>
    <x:row r="57">
      <x:c r="B57" s="612" t="str">
        <x:v>Rule</x:v>
      </x:c>
      <x:c r="C57" s="612" t="str">
        <x:v>Nobody should have to remember everywhere a change must be made.</x:v>
      </x:c>
      <x:c r="D57" s="612" t="str">
        <x:v>People decide whether the change is correct.</x:v>
      </x:c>
      <x:c r="E57" s="612" t="str">
        <x:v>Automation removes the 'I forgot to update that too' failure.</x:v>
      </x:c>
      <x:c r="F57" s="612"/>
      <x:c r="G57" s="612"/>
      <x:c r="H57" s="612"/>
    </x:row>
    <x:row r="58">
      <x:c r="B58" s="140"/>
      <x:c r="C58" s="140"/>
      <x:c r="D58" s="140"/>
      <x:c r="E58" s="140"/>
      <x:c r="F58" s="140"/>
      <x:c r="G58" s="140"/>
      <x:c r="H58" s="140"/>
    </x:row>
    <x:row r="59">
      <x:c r="B59" s="604" t="str">
        <x:v>6. EXCEL'S ROLE</x:v>
      </x:c>
      <x:c r="C59" s="604"/>
      <x:c r="D59" s="604"/>
      <x:c r="E59" s="604"/>
      <x:c r="F59" s="604"/>
      <x:c r="G59" s="604"/>
      <x:c r="H59" s="604"/>
    </x:row>
    <x:row r="60">
      <x:c r="B60" s="610" t="str">
        <x:v>Workbook role</x:v>
      </x:c>
      <x:c r="C60" s="610" t="str">
        <x:v>Status</x:v>
      </x:c>
      <x:c r="D60" s="610" t="str">
        <x:v>Notes</x:v>
      </x:c>
      <x:c r="E60" s="610"/>
      <x:c r="F60" s="610"/>
      <x:c r="G60" s="610"/>
      <x:c r="H60" s="610"/>
    </x:row>
    <x:row r="61">
      <x:c r="B61" s="612" t="str">
        <x:v>Transparent calculation specification</x:v>
      </x:c>
      <x:c r="C61" s="612" t="str">
        <x:v>ACTIVE</x:v>
      </x:c>
      <x:c r="D61" s="612" t="str">
        <x:v>Equations, inputs, source trace, longhand and QA remain visible.</x:v>
      </x:c>
      <x:c r="E61" s="612"/>
      <x:c r="F61" s="612"/>
      <x:c r="G61" s="612"/>
      <x:c r="H61" s="612"/>
    </x:row>
    <x:row r="62">
      <x:c r="B62" s="612" t="str">
        <x:v>App data-model specification</x:v>
      </x:c>
      <x:c r="C62" s="612" t="str">
        <x:v>ACTIVE</x:v>
      </x:c>
      <x:c r="D62" s="612" t="str">
        <x:v>00_OBJECT_MODEL, 00_CAD_CONFIRM and 00_CHANGE_IMPACT define the first app contracts.</x:v>
      </x:c>
      <x:c r="E62" s="612"/>
      <x:c r="F62" s="612"/>
      <x:c r="G62" s="612"/>
      <x:c r="H62" s="612"/>
    </x:row>
    <x:row r="63">
      <x:c r="B63" s="612" t="str">
        <x:v>Backend engineering schema</x:v>
      </x:c>
      <x:c r="C63" s="612" t="str">
        <x:v>ACTIVE</x:v>
      </x:c>
      <x:c r="D63" s="612" t="str">
        <x:v>01_INPUTS remains the internal engine store, not normal human entry.</x:v>
      </x:c>
      <x:c r="E63" s="612"/>
      <x:c r="F63" s="612"/>
      <x:c r="G63" s="612"/>
      <x:c r="H63" s="612"/>
    </x:row>
    <x:row r="64">
      <x:c r="B64" s="612" t="str">
        <x:v>CAD output contract</x:v>
      </x:c>
      <x:c r="C64" s="612" t="str">
        <x:v>FRAMEWORK</x:v>
      </x:c>
      <x:c r="D64" s="612" t="str">
        <x:v>11_CAD_OUTPUT and 12_CAD_MAP define what the app/plugin should write back.</x:v>
      </x:c>
      <x:c r="E64" s="612"/>
      <x:c r="F64" s="612"/>
      <x:c r="G64" s="612"/>
      <x:c r="H64" s="612"/>
    </x:row>
    <x:row r="65">
      <x:c r="B65" s="612" t="str">
        <x:v>Permanent production database</x:v>
      </x:c>
      <x:c r="C65" s="612" t="str">
        <x:v>NO</x:v>
      </x:c>
      <x:c r="D65" s="612" t="str">
        <x:v>The future app/project database becomes the canonical source of truth.</x:v>
      </x:c>
      <x:c r="E65" s="612"/>
      <x:c r="F65" s="612"/>
      <x:c r="G65" s="612"/>
      <x:c r="H65" s="612"/>
    </x:row>
    <x:row r="66">
      <x:c r="B66" s="612" t="str">
        <x:v>Where to stop expanding Excel</x:v>
      </x:c>
      <x:c r="C66" s="612" t="str">
        <x:v>NOW</x:v>
      </x:c>
      <x:c r="D66" s="612" t="str">
        <x:v>New deep engineering cases should be implemented primarily in the app calculation engine, then mirrored into report/longhand output as needed.</x:v>
      </x:c>
      <x:c r="E66" s="612"/>
      <x:c r="F66" s="612"/>
      <x:c r="G66" s="612"/>
      <x:c r="H66" s="612"/>
    </x:row>
    <x:row r="67">
      <x:c r="B67" s="612" t="str">
        <x:v>Current workbook version</x:v>
      </x:c>
      <x:c r="C67" s="612" t="str">
        <x:v>v11</x:v>
      </x:c>
      <x:c r="D67" s="612" t="str">
        <x:v>Workbook is the handoff specification for app development.</x:v>
      </x:c>
      <x:c r="E67" s="612"/>
      <x:c r="F67" s="612"/>
      <x:c r="G67" s="612"/>
      <x:c r="H67" s="612"/>
    </x:row>
    <x:row r="68">
      <x:c r="B68" s="140"/>
      <x:c r="C68" s="140"/>
      <x:c r="D68" s="140"/>
      <x:c r="E68" s="140"/>
      <x:c r="F68" s="140"/>
      <x:c r="G68" s="140"/>
      <x:c r="H68" s="140"/>
    </x:row>
    <x:row r="69">
      <x:c r="B69" s="604" t="str">
        <x:v>7. COST / QUANTITY FUTURE</x:v>
      </x:c>
      <x:c r="C69" s="604"/>
      <x:c r="D69" s="604"/>
      <x:c r="E69" s="604"/>
      <x:c r="F69" s="604"/>
      <x:c r="G69" s="604"/>
      <x:c r="H69" s="604"/>
    </x:row>
    <x:row r="70">
      <x:c r="B70" s="610" t="str">
        <x:v>Cost concept</x:v>
      </x:c>
      <x:c r="C70" s="610" t="str">
        <x:v>Data needed now</x:v>
      </x:c>
      <x:c r="D70" s="610" t="str">
        <x:v>Future calculation</x:v>
      </x:c>
      <x:c r="E70" s="610" t="str">
        <x:v>Rule</x:v>
      </x:c>
      <x:c r="F70" s="610"/>
      <x:c r="G70" s="610"/>
      <x:c r="H70" s="610"/>
    </x:row>
    <x:row r="71">
      <x:c r="B71" s="612" t="str">
        <x:v>Every assembly has a BOM</x:v>
      </x:c>
      <x:c r="C71" s="612" t="str">
        <x:v>Parent/child object IDs, item type, description, quantity basis, unit.</x:v>
      </x:c>
      <x:c r="D71" s="612" t="str">
        <x:v>Roll quantities up by room/floor/project.</x:v>
      </x:c>
      <x:c r="E71" s="612" t="str">
        <x:v>Do not infer price from engineering capacity.</x:v>
      </x:c>
      <x:c r="F71" s="612"/>
      <x:c r="G71" s="612"/>
      <x:c r="H71" s="612"/>
    </x:row>
    <x:row r="72">
      <x:c r="B72" s="612" t="str">
        <x:v>Parts are countable</x:v>
      </x:c>
      <x:c r="C72" s="612" t="str">
        <x:v>Bolts, screws, nails, washers, nuts, plates, holdowns, anchors.</x:v>
      </x:c>
      <x:c r="D72" s="612" t="str">
        <x:v>EA quantities × unit cost.</x:v>
      </x:c>
      <x:c r="E72" s="612" t="str">
        <x:v>Retain product/source identity.</x:v>
      </x:c>
      <x:c r="F72" s="612"/>
      <x:c r="G72" s="612"/>
      <x:c r="H72" s="612"/>
    </x:row>
    <x:row r="73">
      <x:c r="B73" s="612" t="str">
        <x:v>Materials are measurable</x:v>
      </x:c>
      <x:c r="C73" s="612" t="str">
        <x:v>Wood length/board measure, sheathing area, concrete volume, rebar length/weight.</x:v>
      </x:c>
      <x:c r="D73" s="612" t="str">
        <x:v>Quantity × waste factor × unit cost.</x:v>
      </x:c>
      <x:c r="E73" s="612" t="str">
        <x:v>Geometry can drive quantities.</x:v>
      </x:c>
      <x:c r="F73" s="612"/>
      <x:c r="G73" s="612"/>
      <x:c r="H73" s="612"/>
    </x:row>
    <x:row r="74">
      <x:c r="B74" s="612" t="str">
        <x:v>Labor can attach to an item/assembly</x:v>
      </x:c>
      <x:c r="C74" s="612" t="str">
        <x:v>Labor unit, crew/task code, productivity basis.</x:v>
      </x:c>
      <x:c r="D74" s="612" t="str">
        <x:v>Quantity × labor hours/unit × labor rate.</x:v>
      </x:c>
      <x:c r="E74" s="612" t="str">
        <x:v>Keep labor assumptions source-controlled.</x:v>
      </x:c>
      <x:c r="F74" s="612"/>
      <x:c r="G74" s="612"/>
      <x:c r="H74" s="612"/>
    </x:row>
    <x:row r="75">
      <x:c r="B75" s="612" t="str">
        <x:v>Equipment/subcontract can attach</x:v>
      </x:c>
      <x:c r="C75" s="612" t="str">
        <x:v>Cost code, quantity/unit or quoted amount.</x:v>
      </x:c>
      <x:c r="D75" s="612" t="str">
        <x:v>Add to assembly/project rollup.</x:v>
      </x:c>
      <x:c r="E75" s="612" t="str">
        <x:v>Separate estimated vs quoted costs.</x:v>
      </x:c>
      <x:c r="F75" s="612"/>
      <x:c r="G75" s="612"/>
      <x:c r="H75" s="612"/>
    </x:row>
    <x:row r="76">
      <x:c r="B76" s="612" t="str">
        <x:v>Revision creates cost delta</x:v>
      </x:c>
      <x:c r="C76" s="612" t="str">
        <x:v>Old BOM vs new BOM.</x:v>
      </x:c>
      <x:c r="D76" s="612" t="str">
        <x:v>Added/removed quantity and cost.</x:v>
      </x:c>
      <x:c r="E76" s="612" t="str">
        <x:v>Same dependency graph can power change-order analysis.</x:v>
      </x:c>
      <x:c r="F76" s="612"/>
      <x:c r="G76" s="612"/>
      <x:c r="H76" s="612"/>
    </x:row>
    <x:row r="77">
      <x:c r="B77" s="612" t="str">
        <x:v>Source &amp; date matter</x:v>
      </x:c>
      <x:c r="C77" s="612" t="str">
        <x:v>Vendor/source/region/date.</x:v>
      </x:c>
      <x:c r="D77" s="612" t="str">
        <x:v>Price refresh and escalation.</x:v>
      </x:c>
      <x:c r="E77" s="612" t="str">
        <x:v>Never make stale price look current.</x:v>
      </x:c>
      <x:c r="F77" s="612"/>
      <x:c r="G77" s="612"/>
      <x:c r="H77" s="612"/>
    </x:row>
    <x:row r="78">
      <x:c r="B78" s="612" t="str">
        <x:v>Excel example</x:v>
      </x:c>
      <x:c r="C78" s="612" t="str">
        <x:v>00_BUILDOUT_EXAMPLE includes separate engineering source and price/vendor/date/region fields; no prices are invented.</x:v>
      </x:c>
      <x:c r="D78" s="612" t="str">
        <x:v>Cost-ready schema with blank unit costs.</x:v>
      </x:c>
      <x:c r="E78" s="612" t="str">
        <x:v>No prices are invented in this workbook.</x:v>
      </x:c>
      <x:c r="F78" s="612"/>
      <x:c r="G78" s="612"/>
      <x:c r="H78" s="612"/>
    </x:row>
    <x:row r="79">
      <x:c r="B79" s="140"/>
      <x:c r="C79" s="140"/>
      <x:c r="D79" s="140"/>
      <x:c r="E79" s="140"/>
      <x:c r="F79" s="140"/>
      <x:c r="G79" s="140"/>
      <x:c r="H79" s="140"/>
    </x:row>
    <x:row r="80">
      <x:c r="B80" s="604" t="str">
        <x:v>8. TOMORROW — FIRST APP VERTICAL SLICE</x:v>
      </x:c>
      <x:c r="C80" s="604"/>
      <x:c r="D80" s="604"/>
      <x:c r="E80" s="604"/>
      <x:c r="F80" s="604"/>
      <x:c r="G80" s="604"/>
      <x:c r="H80" s="604"/>
    </x:row>
    <x:row r="81">
      <x:c r="B81" s="610" t="str">
        <x:v>Order</x:v>
      </x:c>
      <x:c r="C81" s="610" t="str">
        <x:v>Tomorrow's app milestone</x:v>
      </x:c>
      <x:c r="D81" s="610" t="str">
        <x:v>Success condition</x:v>
      </x:c>
      <x:c r="E81" s="610"/>
      <x:c r="F81" s="610"/>
      <x:c r="G81" s="610"/>
      <x:c r="H81" s="610"/>
    </x:row>
    <x:row r="82">
      <x:c r="B82" s="612" t="str">
        <x:v>1</x:v>
      </x:c>
      <x:c r="C82" s="612" t="str">
        <x:v>Create Project</x:v>
      </x:c>
      <x:c r="D82" s="612" t="str">
        <x:v>Minimal setup data stored.</x:v>
      </x:c>
      <x:c r="E82" s="612"/>
      <x:c r="F82" s="612"/>
      <x:c r="G82" s="612"/>
      <x:c r="H82" s="612"/>
    </x:row>
    <x:row r="83">
      <x:c r="B83" s="612" t="str">
        <x:v>2</x:v>
      </x:c>
      <x:c r="C83" s="612" t="str">
        <x:v>Upload DWG/DXF</x:v>
      </x:c>
      <x:c r="D83" s="612" t="str">
        <x:v>File is parsed and source entities retained.</x:v>
      </x:c>
      <x:c r="E83" s="612"/>
      <x:c r="F83" s="612"/>
      <x:c r="G83" s="612"/>
      <x:c r="H83" s="612"/>
    </x:row>
    <x:row r="84">
      <x:c r="B84" s="612" t="str">
        <x:v>3</x:v>
      </x:c>
      <x:c r="C84" s="612" t="str">
        <x:v>Detect rooms/walls/openings</x:v>
      </x:c>
      <x:c r="D84" s="612" t="str">
        <x:v>Candidate semantic objects + coordinates produced.</x:v>
      </x:c>
      <x:c r="E84" s="612"/>
      <x:c r="F84" s="612"/>
      <x:c r="G84" s="612"/>
      <x:c r="H84" s="612"/>
    </x:row>
    <x:row r="85">
      <x:c r="B85" s="612" t="str">
        <x:v>4</x:v>
      </x:c>
      <x:c r="C85" s="612" t="str">
        <x:v>Confirmation UI</x:v>
      </x:c>
      <x:c r="D85" s="612" t="str">
        <x:v>User confirms/edits/ignores detected objects and dimensions.</x:v>
      </x:c>
      <x:c r="E85" s="612"/>
      <x:c r="F85" s="612"/>
      <x:c r="G85" s="612"/>
      <x:c r="H85" s="612"/>
    </x:row>
    <x:row r="86">
      <x:c r="B86" s="612" t="str">
        <x:v>5</x:v>
      </x:c>
      <x:c r="C86" s="612" t="str">
        <x:v>Persist semantic graph</x:v>
      </x:c>
      <x:c r="D86" s="612" t="str">
        <x:v>UUID + human name + tag + relationships + geometry stored.</x:v>
      </x:c>
      <x:c r="E86" s="612"/>
      <x:c r="F86" s="612"/>
      <x:c r="G86" s="612"/>
      <x:c r="H86" s="612"/>
    </x:row>
    <x:row r="87">
      <x:c r="B87" s="612" t="str">
        <x:v>6</x:v>
      </x:c>
      <x:c r="C87" s="612" t="str">
        <x:v>Change one wall length</x:v>
      </x:c>
      <x:c r="D87" s="612" t="str">
        <x:v>Impact graph identifies hosted openings and connected structural items.</x:v>
      </x:c>
      <x:c r="E87" s="612"/>
      <x:c r="F87" s="612"/>
      <x:c r="G87" s="612"/>
      <x:c r="H87" s="612"/>
    </x:row>
    <x:row r="88">
      <x:c r="B88" s="612" t="str">
        <x:v>7</x:v>
      </x:c>
      <x:c r="C88" s="612" t="str">
        <x:v>Preview revisions</x:v>
      </x:c>
      <x:c r="D88" s="612" t="str">
        <x:v>Every affected drawing representation/change is shown before write-back.</x:v>
      </x:c>
      <x:c r="E88" s="612"/>
      <x:c r="F88" s="612"/>
      <x:c r="G88" s="612"/>
      <x:c r="H88" s="612"/>
    </x:row>
    <x:row r="89">
      <x:c r="B89" s="612" t="str">
        <x:v>8</x:v>
      </x:c>
      <x:c r="C89" s="612" t="str">
        <x:v>Approve + reconcile</x:v>
      </x:c>
      <x:c r="D89" s="612" t="str">
        <x:v>Approved geometry updates are written and no mismatch remains.</x:v>
      </x:c>
      <x:c r="E89" s="612"/>
      <x:c r="F89" s="612"/>
      <x:c r="G89" s="612"/>
      <x:c r="H89" s="612"/>
    </x:row>
    <x:row r="90">
      <x:c r="B90" s="140"/>
      <x:c r="C90" s="140"/>
      <x:c r="D90" s="140"/>
      <x:c r="E90" s="140"/>
      <x:c r="F90" s="140"/>
      <x:c r="G90" s="140"/>
      <x:c r="H90" s="140"/>
    </x:row>
    <x:row r="91">
      <x:c r="B91" s="140"/>
      <x:c r="C91" s="140"/>
      <x:c r="D91" s="140"/>
      <x:c r="E91" s="140"/>
      <x:c r="F91" s="140"/>
      <x:c r="G91" s="140"/>
      <x:c r="H91" s="140"/>
    </x:row>
    <x:row r="92">
      <x:c r="B92" s="140"/>
      <x:c r="C92" s="140"/>
      <x:c r="D92" s="140"/>
      <x:c r="E92" s="140"/>
      <x:c r="F92" s="140"/>
      <x:c r="G92" s="140"/>
      <x:c r="H92" s="140"/>
    </x:row>
  </x:sheetData>
  <x:mergeCells>
    <x:mergeCell ref="B2:H2"/>
    <x:mergeCell ref="B4:H6"/>
    <x:mergeCell ref="B8:H8"/>
    <x:mergeCell ref="B16:H16"/>
    <x:mergeCell ref="B25:H25"/>
    <x:mergeCell ref="B35:H35"/>
    <x:mergeCell ref="B47:H47"/>
    <x:mergeCell ref="B59:H59"/>
    <x:mergeCell ref="B69:H69"/>
    <x:mergeCell ref="B80:H80"/>
  </x:mergeCells>
  <x:pageMargins left="0.7" right="0.7" top="0.75" bottom="0.75" header="0.3" footer="0.3"/>
</x:worksheet>
</file>

<file path=xl/worksheets/sheet47.xml><?xml version="1.0" encoding="utf-8"?>
<x:worksheet xmlns:x="http://schemas.openxmlformats.org/spreadsheetml/2006/main">
  <x:sheetFormatPr defaultRowHeight="15"/>
  <x:cols>
    <x:col min="2" max="2" width="10" hidden="0" customWidth="1"/>
    <x:col min="3" max="3" width="18" hidden="0" customWidth="1"/>
    <x:col min="4" max="4" width="24" hidden="0" customWidth="1"/>
    <x:col min="5" max="5" width="24" hidden="0" customWidth="1"/>
    <x:col min="6" max="6" width="28" hidden="0" customWidth="1"/>
    <x:col min="7" max="7" width="34" hidden="0" customWidth="1"/>
    <x:col min="8" max="8" width="24" hidden="0" customWidth="1"/>
    <x:col min="9" max="9" width="30" hidden="0" customWidth="1"/>
    <x:col min="10" max="10" width="17" hidden="0" customWidth="1"/>
    <x:col min="11" max="11" width="38" hidden="0" customWidth="1"/>
    <x:col min="12" max="12" width="28" hidden="0" customWidth="1"/>
    <x:col min="13" max="13" width="32" hidden="0" customWidth="1"/>
  </x:cols>
  <x:sheetData>
    <x:row r="1">
      <x:c r="B1" s="140"/>
      <x:c r="C1" s="140"/>
      <x:c r="D1" s="140"/>
      <x:c r="E1" s="140"/>
      <x:c r="F1" s="140"/>
      <x:c r="G1" s="140"/>
      <x:c r="H1" s="140"/>
      <x:c r="I1" s="140"/>
      <x:c r="J1" s="140"/>
      <x:c r="K1" s="140"/>
      <x:c r="L1" s="140"/>
      <x:c r="M1" s="140"/>
    </x:row>
    <x:row r="2" ht="28" customHeight="1">
      <x:c r="B2" s="599" t="str">
        <x:v>CANONICAL ITEM / OBJECT KEY — FUNCTIONAL MODEL + FUTURE BOM / COSTING</x:v>
      </x:c>
      <x:c r="C2" s="599"/>
      <x:c r="D2" s="599"/>
      <x:c r="E2" s="599"/>
      <x:c r="F2" s="599"/>
      <x:c r="G2" s="599"/>
      <x:c r="H2" s="599"/>
      <x:c r="I2" s="599"/>
      <x:c r="J2" s="599"/>
      <x:c r="K2" s="599"/>
      <x:c r="L2" s="599"/>
      <x:c r="M2" s="599"/>
    </x:row>
    <x:row r="3">
      <x:c r="B3" s="140"/>
      <x:c r="C3" s="140"/>
      <x:c r="D3" s="140"/>
      <x:c r="E3" s="140"/>
      <x:c r="F3" s="140"/>
      <x:c r="G3" s="140"/>
      <x:c r="H3" s="140"/>
      <x:c r="I3" s="140"/>
      <x:c r="J3" s="140"/>
      <x:c r="K3" s="140"/>
      <x:c r="L3" s="140"/>
      <x:c r="M3" s="140"/>
    </x:row>
    <x:row r="4">
      <x:c r="B4" s="601" t="str">
        <x:v>This is the shared vocabulary for the app, CAD plugin, calculation engine, report generator and future costing engine. A semantic tag is human-readable; a permanent object ID is the actual database identity. Cost units are planning fields only and do not imply a price.</x:v>
      </x:c>
      <x:c r="C4" s="601"/>
      <x:c r="D4" s="601"/>
      <x:c r="E4" s="601"/>
      <x:c r="F4" s="601"/>
      <x:c r="G4" s="601"/>
      <x:c r="H4" s="601"/>
      <x:c r="I4" s="601"/>
      <x:c r="J4" s="601"/>
      <x:c r="K4" s="601"/>
      <x:c r="L4" s="601"/>
      <x:c r="M4" s="601"/>
    </x:row>
    <x:row r="5">
      <x:c r="B5" s="140"/>
      <x:c r="C5" s="140"/>
      <x:c r="D5" s="140"/>
      <x:c r="E5" s="140"/>
      <x:c r="F5" s="140"/>
      <x:c r="G5" s="140"/>
      <x:c r="H5" s="140"/>
      <x:c r="I5" s="140"/>
      <x:c r="J5" s="140"/>
      <x:c r="K5" s="140"/>
      <x:c r="L5" s="140"/>
      <x:c r="M5" s="140"/>
    </x:row>
    <x:row r="6">
      <x:c r="B6" s="610" t="str">
        <x:v>Key</x:v>
      </x:c>
      <x:c r="C6" s="610" t="str">
        <x:v>Class</x:v>
      </x:c>
      <x:c r="D6" s="610" t="str">
        <x:v>Canonical Type</x:v>
      </x:c>
      <x:c r="E6" s="610" t="str">
        <x:v>Typical Parent / Host</x:v>
      </x:c>
      <x:c r="F6" s="610" t="str">
        <x:v>Function</x:v>
      </x:c>
      <x:c r="G6" s="610" t="str">
        <x:v>May Contain / Require</x:v>
      </x:c>
      <x:c r="H6" s="610" t="str">
        <x:v>Geometry / Quantity Basis</x:v>
      </x:c>
      <x:c r="I6" s="610" t="str">
        <x:v>Verification Examples</x:v>
      </x:c>
      <x:c r="J6" s="610" t="str">
        <x:v>Typical Cost Unit</x:v>
      </x:c>
      <x:c r="K6" s="610" t="str">
        <x:v>Semantic Tag Example</x:v>
      </x:c>
      <x:c r="L6" s="610" t="str">
        <x:v>CAD Representation</x:v>
      </x:c>
      <x:c r="M6" s="610" t="str">
        <x:v>Notes</x:v>
      </x:c>
    </x:row>
    <x:row r="7">
      <x:c r="B7" s="612" t="str">
        <x:v>PRJ</x:v>
      </x:c>
      <x:c r="C7" s="612" t="str">
        <x:v>Assembly</x:v>
      </x:c>
      <x:c r="D7" s="612" t="str">
        <x:v>PROJECT</x:v>
      </x:c>
      <x:c r="E7" s="612"/>
      <x:c r="F7" s="612" t="str">
        <x:v>Top-level project container</x:v>
      </x:c>
      <x:c r="G7" s="612" t="str">
        <x:v>LEVEL, source records, issue state</x:v>
      </x:c>
      <x:c r="H7" s="612" t="str">
        <x:v>Project</x:v>
      </x:c>
      <x:c r="I7" s="612" t="str">
        <x:v>Setup / jurisdiction / code basis</x:v>
      </x:c>
      <x:c r="J7" s="612" t="str">
        <x:v>LS</x:v>
      </x:c>
      <x:c r="K7" s="612" t="str">
        <x:v>PROJECT</x:v>
      </x:c>
      <x:c r="L7" s="612" t="str">
        <x:v>Sheet set / title blocks</x:v>
      </x:c>
      <x:c r="M7" s="612" t="str">
        <x:v>One canonical project.</x:v>
      </x:c>
    </x:row>
    <x:row r="8">
      <x:c r="B8" s="612" t="str">
        <x:v>LVL</x:v>
      </x:c>
      <x:c r="C8" s="612" t="str">
        <x:v>Assembly</x:v>
      </x:c>
      <x:c r="D8" s="612" t="str">
        <x:v>LEVEL</x:v>
      </x:c>
      <x:c r="E8" s="612" t="str">
        <x:v>PROJECT</x:v>
      </x:c>
      <x:c r="F8" s="612" t="str">
        <x:v>Vertical project container</x:v>
      </x:c>
      <x:c r="G8" s="612" t="str">
        <x:v>ROOM, WALL, BEAM, DIAPHRAGM</x:v>
      </x:c>
      <x:c r="H8" s="612" t="str">
        <x:v>Elevation / floor area</x:v>
      </x:c>
      <x:c r="I8" s="612" t="str">
        <x:v>Elevation / story relationships</x:v>
      </x:c>
      <x:c r="J8" s="612" t="str">
        <x:v>SF</x:v>
      </x:c>
      <x:c r="K8" s="612" t="str">
        <x:v>LEVEL.01</x:v>
      </x:c>
      <x:c r="L8" s="612" t="str">
        <x:v>Plans / sections</x:v>
      </x:c>
      <x:c r="M8" s="612" t="str">
        <x:v>Semantic parent for story objects.</x:v>
      </x:c>
    </x:row>
    <x:row r="9">
      <x:c r="B9" s="612" t="str">
        <x:v>ROOM</x:v>
      </x:c>
      <x:c r="C9" s="612" t="str">
        <x:v>Assembly</x:v>
      </x:c>
      <x:c r="D9" s="612" t="str">
        <x:v>ROOM</x:v>
      </x:c>
      <x:c r="E9" s="612" t="str">
        <x:v>LEVEL</x:v>
      </x:c>
      <x:c r="F9" s="612" t="str">
        <x:v>Spatial/use container</x:v>
      </x:c>
      <x:c r="G9" s="612" t="str">
        <x:v>WALL, DOOR, WINDOW, floor/ceiling relationships</x:v>
      </x:c>
      <x:c r="H9" s="612" t="str">
        <x:v>Area / perimeter</x:v>
      </x:c>
      <x:c r="I9" s="612" t="str">
        <x:v>Boundary closure / room rules</x:v>
      </x:c>
      <x:c r="J9" s="612" t="str">
        <x:v>SF</x:v>
      </x:c>
      <x:c r="K9" s="612" t="str">
        <x:v>ROOM.PRIMARY_BEDROOM</x:v>
      </x:c>
      <x:c r="L9" s="612" t="str">
        <x:v>Plan boundary / label</x:v>
      </x:c>
      <x:c r="M9" s="612" t="str">
        <x:v>Not merely a CAD block.</x:v>
      </x:c>
    </x:row>
    <x:row r="10">
      <x:c r="B10" s="612" t="str">
        <x:v>WALL</x:v>
      </x:c>
      <x:c r="C10" s="612" t="str">
        <x:v>Assembly</x:v>
      </x:c>
      <x:c r="D10" s="612" t="str">
        <x:v>WALL</x:v>
      </x:c>
      <x:c r="E10" s="612" t="str">
        <x:v>ROOM / LEVEL</x:v>
      </x:c>
      <x:c r="F10" s="612" t="str">
        <x:v>Enclosure / partition / structural host</x:v>
      </x:c>
      <x:c r="G10" s="612" t="str">
        <x:v>OPENING, SHEAR_WALL, studs, sheathing</x:v>
      </x:c>
      <x:c r="H10" s="612" t="str">
        <x:v>LF / area</x:v>
      </x:c>
      <x:c r="I10" s="612" t="str">
        <x:v>Geometry / host relationships / structural role</x:v>
      </x:c>
      <x:c r="J10" s="612" t="str">
        <x:v>LF</x:v>
      </x:c>
      <x:c r="K10" s="612" t="str">
        <x:v>ROOM.PRIMARY_BEDROOM.WALL.EAST</x:v>
      </x:c>
      <x:c r="L10" s="612" t="str">
        <x:v>Lines/polylines/blocks</x:v>
      </x:c>
      <x:c r="M10" s="612" t="str">
        <x:v>Human identity + precise coordinates.</x:v>
      </x:c>
    </x:row>
    <x:row r="11">
      <x:c r="B11" s="612" t="str">
        <x:v>WIN</x:v>
      </x:c>
      <x:c r="C11" s="612" t="str">
        <x:v>Object</x:v>
      </x:c>
      <x:c r="D11" s="612" t="str">
        <x:v>WINDOW</x:v>
      </x:c>
      <x:c r="E11" s="612" t="str">
        <x:v>WALL</x:v>
      </x:c>
      <x:c r="F11" s="612" t="str">
        <x:v>Opening / architectural function</x:v>
      </x:c>
      <x:c r="G11" s="612" t="str">
        <x:v>header, trim, fasteners as configured</x:v>
      </x:c>
      <x:c r="H11" s="612" t="str">
        <x:v>EA / opening size</x:v>
      </x:c>
      <x:c r="I11" s="612" t="str">
        <x:v>Host, clearances, header relationship</x:v>
      </x:c>
      <x:c r="J11" s="612" t="str">
        <x:v>EA</x:v>
      </x:c>
      <x:c r="K11" s="612" t="str">
        <x:v>ROOM.PRIMARY_BEDROOM.WALL.EAST.WINDOW.01</x:v>
      </x:c>
      <x:c r="L11" s="612" t="str">
        <x:v>Dynamic block / opening geometry</x:v>
      </x:c>
      <x:c r="M11" s="612" t="str">
        <x:v>Anchor rule can govern movement.</x:v>
      </x:c>
    </x:row>
    <x:row r="12">
      <x:c r="B12" s="612" t="str">
        <x:v>DOR</x:v>
      </x:c>
      <x:c r="C12" s="612" t="str">
        <x:v>Object</x:v>
      </x:c>
      <x:c r="D12" s="612" t="str">
        <x:v>DOOR</x:v>
      </x:c>
      <x:c r="E12" s="612" t="str">
        <x:v>WALL</x:v>
      </x:c>
      <x:c r="F12" s="612" t="str">
        <x:v>Opening / access / egress</x:v>
      </x:c>
      <x:c r="G12" s="612" t="str">
        <x:v>header, hardware as configured</x:v>
      </x:c>
      <x:c r="H12" s="612" t="str">
        <x:v>EA / opening size</x:v>
      </x:c>
      <x:c r="I12" s="612" t="str">
        <x:v>Host, swing/clearance, header relationship</x:v>
      </x:c>
      <x:c r="J12" s="612" t="str">
        <x:v>EA</x:v>
      </x:c>
      <x:c r="K12" s="612" t="str">
        <x:v>ROOM.DINING.WALL.SOUTH.DOOR.01</x:v>
      </x:c>
      <x:c r="L12" s="612" t="str">
        <x:v>Dynamic block / opening geometry</x:v>
      </x:c>
      <x:c r="M12" s="612" t="str">
        <x:v>Same host/anchor concept as window.</x:v>
      </x:c>
    </x:row>
    <x:row r="13">
      <x:c r="B13" s="612" t="str">
        <x:v>BM</x:v>
      </x:c>
      <x:c r="C13" s="612" t="str">
        <x:v>Object</x:v>
      </x:c>
      <x:c r="D13" s="612" t="str">
        <x:v>BEAM</x:v>
      </x:c>
      <x:c r="E13" s="612" t="str">
        <x:v>LEVEL / framing assembly</x:v>
      </x:c>
      <x:c r="F13" s="612" t="str">
        <x:v>Transfer gravity/lateral loads</x:v>
      </x:c>
      <x:c r="G13" s="612" t="str">
        <x:v>member material, connections, supports</x:v>
      </x:c>
      <x:c r="H13" s="612" t="str">
        <x:v>LF / EA</x:v>
      </x:c>
      <x:c r="I13" s="612" t="str">
        <x:v>NDS strength/serviceability</x:v>
      </x:c>
      <x:c r="J13" s="612" t="str">
        <x:v>LF</x:v>
      </x:c>
      <x:c r="K13" s="612" t="str">
        <x:v>STRUCT.BEAM.B4</x:v>
      </x:c>
      <x:c r="L13" s="612" t="str">
        <x:v>Lines/block/tag/schedule row</x:v>
      </x:c>
      <x:c r="M13" s="612" t="str">
        <x:v>Supports reference objects, not anonymous coordinates.</x:v>
      </x:c>
    </x:row>
    <x:row r="14">
      <x:c r="B14" s="612" t="str">
        <x:v>POST</x:v>
      </x:c>
      <x:c r="C14" s="612" t="str">
        <x:v>Object</x:v>
      </x:c>
      <x:c r="D14" s="612" t="str">
        <x:v>POST_COLUMN</x:v>
      </x:c>
      <x:c r="E14" s="612" t="str">
        <x:v>LEVEL / wall</x:v>
      </x:c>
      <x:c r="F14" s="612" t="str">
        <x:v>Transfer vertical/combined loads</x:v>
      </x:c>
      <x:c r="G14" s="612" t="str">
        <x:v>wood member, caps, bases, fasteners</x:v>
      </x:c>
      <x:c r="H14" s="612" t="str">
        <x:v>LF / EA</x:v>
      </x:c>
      <x:c r="I14" s="612" t="str">
        <x:v>NDS axial/stability/interactions</x:v>
      </x:c>
      <x:c r="J14" s="612" t="str">
        <x:v>LF</x:v>
      </x:c>
      <x:c r="K14" s="612" t="str">
        <x:v>STRUCT.POST.P3</x:v>
      </x:c>
      <x:c r="L14" s="612" t="str">
        <x:v>Block/tag/schedule row</x:v>
      </x:c>
      <x:c r="M14" s="612" t="str">
        <x:v>Feeds foundation reactions.</x:v>
      </x:c>
    </x:row>
    <x:row r="15">
      <x:c r="B15" s="612" t="str">
        <x:v>SW</x:v>
      </x:c>
      <x:c r="C15" s="612" t="str">
        <x:v>Assembly</x:v>
      </x:c>
      <x:c r="D15" s="612" t="str">
        <x:v>SHEAR_WALL</x:v>
      </x:c>
      <x:c r="E15" s="612" t="str">
        <x:v>WALL</x:v>
      </x:c>
      <x:c r="F15" s="612" t="str">
        <x:v>Resist lateral shear/overturning</x:v>
      </x:c>
      <x:c r="G15" s="612" t="str">
        <x:v>sheathing, framing, fasteners, boundary posts, holdowns, sill anchors, blocking</x:v>
      </x:c>
      <x:c r="H15" s="612" t="str">
        <x:v>LF / SF</x:v>
      </x:c>
      <x:c r="I15" s="612" t="str">
        <x:v>SDPWS strength/deflection/load path</x:v>
      </x:c>
      <x:c r="J15" s="612" t="str">
        <x:v>LF</x:v>
      </x:c>
      <x:c r="K15" s="612" t="str">
        <x:v>STRUCT.SHEAR_WALL.SW3</x:v>
      </x:c>
      <x:c r="L15" s="612" t="str">
        <x:v>Wall graphics + tags + schedule + details</x:v>
      </x:c>
      <x:c r="M15" s="612" t="str">
        <x:v>Complete assembly, not hatching.</x:v>
      </x:c>
    </x:row>
    <x:row r="16">
      <x:c r="B16" s="612" t="str">
        <x:v>DIA</x:v>
      </x:c>
      <x:c r="C16" s="612" t="str">
        <x:v>Assembly</x:v>
      </x:c>
      <x:c r="D16" s="612" t="str">
        <x:v>DIAPHRAGM</x:v>
      </x:c>
      <x:c r="E16" s="612" t="str">
        <x:v>LEVEL / roof/floor</x:v>
      </x:c>
      <x:c r="F16" s="612" t="str">
        <x:v>Collect/distribute lateral load</x:v>
      </x:c>
      <x:c r="G16" s="612" t="str">
        <x:v>sheathing, fasteners, chords, collectors, blocking</x:v>
      </x:c>
      <x:c r="H16" s="612" t="str">
        <x:v>SF</x:v>
      </x:c>
      <x:c r="I16" s="612" t="str">
        <x:v>SDPWS shear/deflection/chord/collector checks</x:v>
      </x:c>
      <x:c r="J16" s="612" t="str">
        <x:v>SF</x:v>
      </x:c>
      <x:c r="K16" s="612" t="str">
        <x:v>STRUCT.DIAPHRAGM.D1</x:v>
      </x:c>
      <x:c r="L16" s="612" t="str">
        <x:v>Plan graphics + notes + schedule</x:v>
      </x:c>
      <x:c r="M16" s="612" t="str">
        <x:v>Can own collectors/chords.</x:v>
      </x:c>
    </x:row>
    <x:row r="17">
      <x:c r="B17" s="612" t="str">
        <x:v>COL</x:v>
      </x:c>
      <x:c r="C17" s="612" t="str">
        <x:v>Object/Assembly</x:v>
      </x:c>
      <x:c r="D17" s="612" t="str">
        <x:v>COLLECTOR_CHORD</x:v>
      </x:c>
      <x:c r="E17" s="612" t="str">
        <x:v>DIAPHRAGM / LEVEL</x:v>
      </x:c>
      <x:c r="F17" s="612" t="str">
        <x:v>Transfer axial diaphragm force</x:v>
      </x:c>
      <x:c r="G17" s="612" t="str">
        <x:v>member + splice connections + blocking</x:v>
      </x:c>
      <x:c r="H17" s="612" t="str">
        <x:v>LF</x:v>
      </x:c>
      <x:c r="I17" s="612" t="str">
        <x:v>Member + splice capacity / load path</x:v>
      </x:c>
      <x:c r="J17" s="612" t="str">
        <x:v>LF</x:v>
      </x:c>
      <x:c r="K17" s="612" t="str">
        <x:v>STRUCT.COLLECTOR.C1</x:v>
      </x:c>
      <x:c r="L17" s="612" t="str">
        <x:v>Line/tag/detail/schedule</x:v>
      </x:c>
      <x:c r="M17" s="612" t="str">
        <x:v>May be collector, drag strut or chord.</x:v>
      </x:c>
    </x:row>
    <x:row r="18">
      <x:c r="B18" s="612" t="str">
        <x:v>FTG</x:v>
      </x:c>
      <x:c r="C18" s="612" t="str">
        <x:v>Assembly</x:v>
      </x:c>
      <x:c r="D18" s="612" t="str">
        <x:v>FOOTING</x:v>
      </x:c>
      <x:c r="E18" s="612" t="str">
        <x:v>POST / WALL / foundation system</x:v>
      </x:c>
      <x:c r="F18" s="612" t="str">
        <x:v>Transfer load to soil</x:v>
      </x:c>
      <x:c r="G18" s="612" t="str">
        <x:v>concrete, rebar, dowels, anchors, supported object</x:v>
      </x:c>
      <x:c r="H18" s="612" t="str">
        <x:v>CY / EA</x:v>
      </x:c>
      <x:c r="I18" s="612" t="str">
        <x:v>bearing/sliding/overturning + concrete design</x:v>
      </x:c>
      <x:c r="J18" s="612" t="str">
        <x:v>CY</x:v>
      </x:c>
      <x:c r="K18" s="612" t="str">
        <x:v>STRUCT.FOOTING.F3</x:v>
      </x:c>
      <x:c r="L18" s="612" t="str">
        <x:v>Plan/section/detail/schedule</x:v>
      </x:c>
      <x:c r="M18" s="612" t="str">
        <x:v>Complete foundation working item.</x:v>
      </x:c>
    </x:row>
    <x:row r="19">
      <x:c r="B19" s="612" t="str">
        <x:v>CONN</x:v>
      </x:c>
      <x:c r="C19" s="612" t="str">
        <x:v>Assembly</x:v>
      </x:c>
      <x:c r="D19" s="612" t="str">
        <x:v>CONNECTION</x:v>
      </x:c>
      <x:c r="E19" s="612" t="str">
        <x:v>Two or more host objects</x:v>
      </x:c>
      <x:c r="F19" s="612" t="str">
        <x:v>Transfer force between objects</x:v>
      </x:c>
      <x:c r="G19" s="612" t="str">
        <x:v>fasteners, plates, nuts, washers, straps, screws, welds as applicable</x:v>
      </x:c>
      <x:c r="H19" s="612" t="str">
        <x:v>EA</x:v>
      </x:c>
      <x:c r="I19" s="612" t="str">
        <x:v>NDS/product/steel/concrete checks</x:v>
      </x:c>
      <x:c r="J19" s="612" t="str">
        <x:v>EA</x:v>
      </x:c>
      <x:c r="K19" s="612" t="str">
        <x:v>STRUCT.CONNECTION.CN014</x:v>
      </x:c>
      <x:c r="L19" s="612" t="str">
        <x:v>Detail + schedule + callout</x:v>
      </x:c>
      <x:c r="M19" s="612" t="str">
        <x:v>Connection is the working unit; bolt is a child part.</x:v>
      </x:c>
    </x:row>
    <x:row r="20">
      <x:c r="B20" s="612" t="str">
        <x:v>FST</x:v>
      </x:c>
      <x:c r="C20" s="612" t="str">
        <x:v>Component</x:v>
      </x:c>
      <x:c r="D20" s="612" t="str">
        <x:v>FASTENER_GROUP</x:v>
      </x:c>
      <x:c r="E20" s="612" t="str">
        <x:v>CONNECTION / SW / hardware</x:v>
      </x:c>
      <x:c r="F20" s="612" t="str">
        <x:v>Provide required fastening mechanism</x:v>
      </x:c>
      <x:c r="G20" s="612" t="str">
        <x:v>BOLT, SCREW, NAIL, washer/nut rules</x:v>
      </x:c>
      <x:c r="H20" s="612" t="str">
        <x:v>EA / count / spacing</x:v>
      </x:c>
      <x:c r="I20" s="612" t="str">
        <x:v>spacing, edge/end, group action, capacity</x:v>
      </x:c>
      <x:c r="J20" s="612" t="str">
        <x:v>EA</x:v>
      </x:c>
      <x:c r="K20" s="612" t="str">
        <x:v>STRUCT.CONNECTION.CN014.FASTENER_GROUP.01</x:v>
      </x:c>
      <x:c r="L20" s="612" t="str">
        <x:v>Pattern / detail / note</x:v>
      </x:c>
      <x:c r="M20" s="612" t="str">
        <x:v>Functional grouping of individual fasteners.</x:v>
      </x:c>
    </x:row>
    <x:row r="21">
      <x:c r="B21" s="612" t="str">
        <x:v>BLT</x:v>
      </x:c>
      <x:c r="C21" s="612" t="str">
        <x:v>Part</x:v>
      </x:c>
      <x:c r="D21" s="612" t="str">
        <x:v>BOLT</x:v>
      </x:c>
      <x:c r="E21" s="612" t="str">
        <x:v>FASTENER_GROUP / CONNECTION</x:v>
      </x:c>
      <x:c r="F21" s="612" t="str">
        <x:v>Discrete dowel-type fastener</x:v>
      </x:c>
      <x:c r="G21" s="612" t="str">
        <x:v>nut, washer(s), hole condition</x:v>
      </x:c>
      <x:c r="H21" s="612" t="str">
        <x:v>EA</x:v>
      </x:c>
      <x:c r="I21" s="612" t="str">
        <x:v>diameter/grade/embedment/capacity</x:v>
      </x:c>
      <x:c r="J21" s="612" t="str">
        <x:v>EA</x:v>
      </x:c>
      <x:c r="K21" s="612" t="str">
        <x:v>...BOLT.01</x:v>
      </x:c>
      <x:c r="L21" s="612" t="str">
        <x:v>Bolt symbol/detail</x:v>
      </x:c>
      <x:c r="M21" s="612" t="str">
        <x:v>Countable cost item.</x:v>
      </x:c>
    </x:row>
    <x:row r="22">
      <x:c r="B22" s="612" t="str">
        <x:v>SCR</x:v>
      </x:c>
      <x:c r="C22" s="612" t="str">
        <x:v>Part</x:v>
      </x:c>
      <x:c r="D22" s="612" t="str">
        <x:v>SCREW</x:v>
      </x:c>
      <x:c r="E22" s="612" t="str">
        <x:v>FASTENER_GROUP / CONNECTION</x:v>
      </x:c>
      <x:c r="F22" s="612" t="str">
        <x:v>Discrete screw fastener</x:v>
      </x:c>
      <x:c r="G22" s="612" t="str">
        <x:v>washer where applicable</x:v>
      </x:c>
      <x:c r="H22" s="612" t="str">
        <x:v>EA</x:v>
      </x:c>
      <x:c r="I22" s="612" t="str">
        <x:v>type/diameter/length/withdrawal/lateral</x:v>
      </x:c>
      <x:c r="J22" s="612" t="str">
        <x:v>EA</x:v>
      </x:c>
      <x:c r="K22" s="612" t="str">
        <x:v>...SCREW.01</x:v>
      </x:c>
      <x:c r="L22" s="612" t="str">
        <x:v>Screw pattern/detail</x:v>
      </x:c>
      <x:c r="M22" s="612" t="str">
        <x:v>Countable cost item.</x:v>
      </x:c>
    </x:row>
    <x:row r="23">
      <x:c r="B23" s="612" t="str">
        <x:v>NAL</x:v>
      </x:c>
      <x:c r="C23" s="612" t="str">
        <x:v>Part</x:v>
      </x:c>
      <x:c r="D23" s="612" t="str">
        <x:v>NAIL</x:v>
      </x:c>
      <x:c r="E23" s="612" t="str">
        <x:v>FASTENER_GROUP / SW / DIA</x:v>
      </x:c>
      <x:c r="F23" s="612" t="str">
        <x:v>Discrete nail fastener</x:v>
      </x:c>
      <x:c r="G23" s="612"/>
      <x:c r="H23" s="612" t="str">
        <x:v>EA / spacing</x:v>
      </x:c>
      <x:c r="I23" s="612" t="str">
        <x:v>diameter/length/spacing/lateral</x:v>
      </x:c>
      <x:c r="J23" s="612" t="str">
        <x:v>EA</x:v>
      </x:c>
      <x:c r="K23" s="612" t="str">
        <x:v>...NAIL.TYPE.8D</x:v>
      </x:c>
      <x:c r="L23" s="612" t="str">
        <x:v>Nailing pattern/note</x:v>
      </x:c>
      <x:c r="M23" s="612" t="str">
        <x:v>Usually quantity derived from spacing + geometry.</x:v>
      </x:c>
    </x:row>
    <x:row r="24">
      <x:c r="B24" s="612" t="str">
        <x:v>NUT</x:v>
      </x:c>
      <x:c r="C24" s="612" t="str">
        <x:v>Part</x:v>
      </x:c>
      <x:c r="D24" s="612" t="str">
        <x:v>NUT</x:v>
      </x:c>
      <x:c r="E24" s="612" t="str">
        <x:v>BOLT / rod</x:v>
      </x:c>
      <x:c r="F24" s="612" t="str">
        <x:v>Develop bolt/rod fastening</x:v>
      </x:c>
      <x:c r="G24" s="612"/>
      <x:c r="H24" s="612" t="str">
        <x:v>EA</x:v>
      </x:c>
      <x:c r="I24" s="612" t="str">
        <x:v>grade/thread compatibility</x:v>
      </x:c>
      <x:c r="J24" s="612" t="str">
        <x:v>EA</x:v>
      </x:c>
      <x:c r="K24" s="612" t="str">
        <x:v>...BOLT.01.NUT</x:v>
      </x:c>
      <x:c r="L24" s="612" t="str">
        <x:v>Detail</x:v>
      </x:c>
      <x:c r="M24" s="612" t="str">
        <x:v>Count equals applicable bolts/rods unless configuration differs.</x:v>
      </x:c>
    </x:row>
    <x:row r="25">
      <x:c r="B25" s="612" t="str">
        <x:v>WSH</x:v>
      </x:c>
      <x:c r="C25" s="612" t="str">
        <x:v>Part</x:v>
      </x:c>
      <x:c r="D25" s="612" t="str">
        <x:v>WASHER</x:v>
      </x:c>
      <x:c r="E25" s="612" t="str">
        <x:v>BOLT / anchor / rod</x:v>
      </x:c>
      <x:c r="F25" s="612" t="str">
        <x:v>Distribute bearing / satisfy hardware detail</x:v>
      </x:c>
      <x:c r="G25" s="612"/>
      <x:c r="H25" s="612" t="str">
        <x:v>EA</x:v>
      </x:c>
      <x:c r="I25" s="612" t="str">
        <x:v>size/thickness/product requirement</x:v>
      </x:c>
      <x:c r="J25" s="612" t="str">
        <x:v>EA</x:v>
      </x:c>
      <x:c r="K25" s="612" t="str">
        <x:v>...BOLT.01.WASHER.A</x:v>
      </x:c>
      <x:c r="L25" s="612" t="str">
        <x:v>Detail</x:v>
      </x:c>
      <x:c r="M25" s="612" t="str">
        <x:v>Could be plate washer or proprietary washer.</x:v>
      </x:c>
    </x:row>
    <x:row r="26">
      <x:c r="B26" s="612" t="str">
        <x:v>PLT</x:v>
      </x:c>
      <x:c r="C26" s="612" t="str">
        <x:v>Part</x:v>
      </x:c>
      <x:c r="D26" s="612" t="str">
        <x:v>STEEL_PLATE</x:v>
      </x:c>
      <x:c r="E26" s="612" t="str">
        <x:v>CONNECTION / holdown</x:v>
      </x:c>
      <x:c r="F26" s="612" t="str">
        <x:v>Transfer/distribute connection force</x:v>
      </x:c>
      <x:c r="G26" s="612" t="str">
        <x:v>holes, bolts, welds as applicable</x:v>
      </x:c>
      <x:c r="H26" s="612" t="str">
        <x:v>EA / LB</x:v>
      </x:c>
      <x:c r="I26" s="612" t="str">
        <x:v>plate strength/bearing/block shear as applicable</x:v>
      </x:c>
      <x:c r="J26" s="612" t="str">
        <x:v>LB</x:v>
      </x:c>
      <x:c r="K26" s="612" t="str">
        <x:v>...PLATE.01</x:v>
      </x:c>
      <x:c r="L26" s="612" t="str">
        <x:v>Detail/block</x:v>
      </x:c>
      <x:c r="M26" s="612" t="str">
        <x:v>Material takeoff can be weight-based.</x:v>
      </x:c>
    </x:row>
    <x:row r="27">
      <x:c r="B27" s="612" t="str">
        <x:v>HD</x:v>
      </x:c>
      <x:c r="C27" s="612" t="str">
        <x:v>Assembly/Product</x:v>
      </x:c>
      <x:c r="D27" s="612" t="str">
        <x:v>HOLDOWN_TENSION_TIE</x:v>
      </x:c>
      <x:c r="E27" s="612" t="str">
        <x:v>SHEAR_WALL / POST</x:v>
      </x:c>
      <x:c r="F27" s="612" t="str">
        <x:v>Transfer overturning tension</x:v>
      </x:c>
      <x:c r="G27" s="612" t="str">
        <x:v>product, fasteners, post, rod/anchor interface</x:v>
      </x:c>
      <x:c r="H27" s="612" t="str">
        <x:v>EA</x:v>
      </x:c>
      <x:c r="I27" s="612" t="str">
        <x:v>published allowable/deformation + post/anchor checks</x:v>
      </x:c>
      <x:c r="J27" s="612" t="str">
        <x:v>EA</x:v>
      </x:c>
      <x:c r="K27" s="612" t="str">
        <x:v>STRUCT.HOLDOWN.HD4</x:v>
      </x:c>
      <x:c r="L27" s="612" t="str">
        <x:v>Block/detail/schedule</x:v>
      </x:c>
      <x:c r="M27" s="612" t="str">
        <x:v>Product-specific source record required.</x:v>
      </x:c>
    </x:row>
    <x:row r="28">
      <x:c r="B28" s="612" t="str">
        <x:v>AB</x:v>
      </x:c>
      <x:c r="C28" s="612" t="str">
        <x:v>Assembly/Product</x:v>
      </x:c>
      <x:c r="D28" s="612" t="str">
        <x:v>ANCHOR</x:v>
      </x:c>
      <x:c r="E28" s="612" t="str">
        <x:v>FOOTING / sill / holdown</x:v>
      </x:c>
      <x:c r="F28" s="612" t="str">
        <x:v>Transfer load into concrete</x:v>
      </x:c>
      <x:c r="G28" s="612" t="str">
        <x:v>rod/bolt, nut, washer, adhesive/mechanical system</x:v>
      </x:c>
      <x:c r="H28" s="612" t="str">
        <x:v>EA</x:v>
      </x:c>
      <x:c r="I28" s="612" t="str">
        <x:v>concrete/steel/edge/spacing/seismic checks</x:v>
      </x:c>
      <x:c r="J28" s="612" t="str">
        <x:v>EA</x:v>
      </x:c>
      <x:c r="K28" s="612" t="str">
        <x:v>STRUCT.ANCHOR.AB1</x:v>
      </x:c>
      <x:c r="L28" s="612" t="str">
        <x:v>Detail/schedule</x:v>
      </x:c>
      <x:c r="M28" s="612" t="str">
        <x:v>Capacity source may be ESR or engineered design.</x:v>
      </x:c>
    </x:row>
    <x:row r="29">
      <x:c r="B29" s="612" t="str">
        <x:v>STRP</x:v>
      </x:c>
      <x:c r="C29" s="612" t="str">
        <x:v>Product</x:v>
      </x:c>
      <x:c r="D29" s="612" t="str">
        <x:v>STRAP</x:v>
      </x:c>
      <x:c r="E29" s="612" t="str">
        <x:v>CONNECTION / wall/collector</x:v>
      </x:c>
      <x:c r="F29" s="612" t="str">
        <x:v>Transfer tension/shear across discontinuity</x:v>
      </x:c>
      <x:c r="G29" s="612" t="str">
        <x:v>fasteners</x:v>
      </x:c>
      <x:c r="H29" s="612" t="str">
        <x:v>EA / LF</x:v>
      </x:c>
      <x:c r="I29" s="612" t="str">
        <x:v>product/fastener capacity</x:v>
      </x:c>
      <x:c r="J29" s="612" t="str">
        <x:v>EA</x:v>
      </x:c>
      <x:c r="K29" s="612" t="str">
        <x:v>STRUCT.STRAP.ST1</x:v>
      </x:c>
      <x:c r="L29" s="612" t="str">
        <x:v>Detail/schedule</x:v>
      </x:c>
      <x:c r="M29" s="612" t="str">
        <x:v>Product-specific.</x:v>
      </x:c>
    </x:row>
    <x:row r="30">
      <x:c r="B30" s="612" t="str">
        <x:v>BLKG</x:v>
      </x:c>
      <x:c r="C30" s="612" t="str">
        <x:v>Object/Material</x:v>
      </x:c>
      <x:c r="D30" s="612" t="str">
        <x:v>BLOCKING</x:v>
      </x:c>
      <x:c r="E30" s="612" t="str">
        <x:v>WALL / DIA / framing</x:v>
      </x:c>
      <x:c r="F30" s="612" t="str">
        <x:v>Provide load transfer/restraint/support</x:v>
      </x:c>
      <x:c r="G30" s="612" t="str">
        <x:v>wood + fasteners</x:v>
      </x:c>
      <x:c r="H30" s="612" t="str">
        <x:v>LF / BF</x:v>
      </x:c>
      <x:c r="I30" s="612" t="str">
        <x:v>fit, member capacity, connection</x:v>
      </x:c>
      <x:c r="J30" s="612" t="str">
        <x:v>LF</x:v>
      </x:c>
      <x:c r="K30" s="612" t="str">
        <x:v>STRUCT.BLOCKING.BLK1</x:v>
      </x:c>
      <x:c r="L30" s="612" t="str">
        <x:v>Plan/detail</x:v>
      </x:c>
      <x:c r="M30" s="612" t="str">
        <x:v>Can be quantified from geometry.</x:v>
      </x:c>
    </x:row>
    <x:row r="31">
      <x:c r="B31" s="612" t="str">
        <x:v>LBR</x:v>
      </x:c>
      <x:c r="C31" s="612" t="str">
        <x:v>Material/Part</x:v>
      </x:c>
      <x:c r="D31" s="612" t="str">
        <x:v>LUMBER</x:v>
      </x:c>
      <x:c r="E31" s="612" t="str">
        <x:v>Member / assembly</x:v>
      </x:c>
      <x:c r="F31" s="612" t="str">
        <x:v>Structural wood material</x:v>
      </x:c>
      <x:c r="G31" s="612" t="str">
        <x:v>species/grade/size/source</x:v>
      </x:c>
      <x:c r="H31" s="612" t="str">
        <x:v>LF / BF / EA</x:v>
      </x:c>
      <x:c r="I31" s="612" t="str">
        <x:v>NDS values/product source</x:v>
      </x:c>
      <x:c r="J31" s="612" t="str">
        <x:v>LF</x:v>
      </x:c>
      <x:c r="K31" s="612" t="str">
        <x:v>MAT.LUMBER.DFL.NO2.2X6</x:v>
      </x:c>
      <x:c r="L31" s="612" t="str">
        <x:v>Member geometry</x:v>
      </x:c>
      <x:c r="M31" s="612" t="str">
        <x:v>Material identity separate from object identity.</x:v>
      </x:c>
    </x:row>
    <x:row r="32">
      <x:c r="B32" s="612" t="str">
        <x:v>SHT</x:v>
      </x:c>
      <x:c r="C32" s="612" t="str">
        <x:v>Material/Part</x:v>
      </x:c>
      <x:c r="D32" s="612" t="str">
        <x:v>SHEATHING</x:v>
      </x:c>
      <x:c r="E32" s="612" t="str">
        <x:v>WALL / DIA</x:v>
      </x:c>
      <x:c r="F32" s="612" t="str">
        <x:v>Provide panel shear/diaphragm action</x:v>
      </x:c>
      <x:c r="G32" s="612" t="str">
        <x:v>panel + fasteners</x:v>
      </x:c>
      <x:c r="H32" s="612" t="str">
        <x:v>SF / sheet</x:v>
      </x:c>
      <x:c r="I32" s="612" t="str">
        <x:v>grade/thickness/span rating/SDPWS assembly</x:v>
      </x:c>
      <x:c r="J32" s="612" t="str">
        <x:v>SF</x:v>
      </x:c>
      <x:c r="K32" s="612" t="str">
        <x:v>MAT.SHEATHING.WSP.15_32</x:v>
      </x:c>
      <x:c r="L32" s="612" t="str">
        <x:v>Panel graphics/hatch</x:v>
      </x:c>
      <x:c r="M32" s="612" t="str">
        <x:v>Cost can roll up by sheet or area.</x:v>
      </x:c>
    </x:row>
    <x:row r="33">
      <x:c r="B33" s="612" t="str">
        <x:v>CONC</x:v>
      </x:c>
      <x:c r="C33" s="612" t="str">
        <x:v>Material</x:v>
      </x:c>
      <x:c r="D33" s="612" t="str">
        <x:v>CONCRETE</x:v>
      </x:c>
      <x:c r="E33" s="612" t="str">
        <x:v>FOOTING / slab / wall</x:v>
      </x:c>
      <x:c r="F33" s="612" t="str">
        <x:v>Structural concrete body</x:v>
      </x:c>
      <x:c r="G33" s="612" t="str">
        <x:v>reinforcement/embeds</x:v>
      </x:c>
      <x:c r="H33" s="612" t="str">
        <x:v>CY</x:v>
      </x:c>
      <x:c r="I33" s="612" t="str">
        <x:v>f'c / exposure / placement basis</x:v>
      </x:c>
      <x:c r="J33" s="612" t="str">
        <x:v>CY</x:v>
      </x:c>
      <x:c r="K33" s="612" t="str">
        <x:v>MAT.CONCRETE.3000PSI</x:v>
      </x:c>
      <x:c r="L33" s="612" t="str">
        <x:v>Solid/hatch/detail</x:v>
      </x:c>
      <x:c r="M33" s="612" t="str">
        <x:v>Volume derived from geometry.</x:v>
      </x:c>
    </x:row>
    <x:row r="34">
      <x:c r="B34" s="612" t="str">
        <x:v>REBAR</x:v>
      </x:c>
      <x:c r="C34" s="612" t="str">
        <x:v>Part/Material</x:v>
      </x:c>
      <x:c r="D34" s="612" t="str">
        <x:v>REINFORCING_BAR</x:v>
      </x:c>
      <x:c r="E34" s="612" t="str">
        <x:v>CONCRETE assembly</x:v>
      </x:c>
      <x:c r="F34" s="612" t="str">
        <x:v>Provide tensile/shear reinforcement</x:v>
      </x:c>
      <x:c r="G34" s="612" t="str">
        <x:v>bar marks/splices</x:v>
      </x:c>
      <x:c r="H34" s="612" t="str">
        <x:v>LF / LB</x:v>
      </x:c>
      <x:c r="I34" s="612" t="str">
        <x:v>size/grade/development/cover</x:v>
      </x:c>
      <x:c r="J34" s="612" t="str">
        <x:v>LB</x:v>
      </x:c>
      <x:c r="K34" s="612" t="str">
        <x:v>MAT.REBAR.G60.NO5</x:v>
      </x:c>
      <x:c r="L34" s="612" t="str">
        <x:v>Detail/bar schedule</x:v>
      </x:c>
      <x:c r="M34" s="612" t="str">
        <x:v>Weight/length basis supports costing.</x:v>
      </x:c>
    </x:row>
    <x:row r="35">
      <x:c r="B35" s="612" t="str">
        <x:v>SRC</x:v>
      </x:c>
      <x:c r="C35" s="612" t="str">
        <x:v>Record</x:v>
      </x:c>
      <x:c r="D35" s="612" t="str">
        <x:v>SOURCE_RECORD</x:v>
      </x:c>
      <x:c r="E35" s="612" t="str">
        <x:v>Any object/value</x:v>
      </x:c>
      <x:c r="F35" s="612" t="str">
        <x:v>Provenance / authority</x:v>
      </x:c>
      <x:c r="G35" s="612" t="str">
        <x:v>URL/file/date/version</x:v>
      </x:c>
      <x:c r="H35" s="612" t="str">
        <x:v>N/A</x:v>
      </x:c>
      <x:c r="I35" s="612" t="str">
        <x:v>Source validity / edition</x:v>
      </x:c>
      <x:c r="J35" s="612" t="str">
        <x:v>N/A</x:v>
      </x:c>
      <x:c r="K35" s="612" t="str">
        <x:v>SRC-###</x:v>
      </x:c>
      <x:c r="L35" s="612" t="str">
        <x:v>Appendix/reference</x:v>
      </x:c>
      <x:c r="M35" s="612" t="str">
        <x:v>Not a physical cost item.</x:v>
      </x:c>
    </x:row>
    <x:row r="36">
      <x:c r="B36" s="612" t="str">
        <x:v>CAD</x:v>
      </x:c>
      <x:c r="C36" s="612" t="str">
        <x:v>Representation</x:v>
      </x:c>
      <x:c r="D36" s="612" t="str">
        <x:v>CAD_REPRESENTATION</x:v>
      </x:c>
      <x:c r="E36" s="612" t="str">
        <x:v>DESIGN OBJECT</x:v>
      </x:c>
      <x:c r="F36" s="612" t="str">
        <x:v>Graphical/document view of object</x:v>
      </x:c>
      <x:c r="G36" s="612" t="str">
        <x:v>entity IDs / sheets / details</x:v>
      </x:c>
      <x:c r="H36" s="612" t="str">
        <x:v>N/A</x:v>
      </x:c>
      <x:c r="I36" s="612" t="str">
        <x:v>Model-to-drawing reconciliation</x:v>
      </x:c>
      <x:c r="J36" s="612" t="str">
        <x:v>N/A</x:v>
      </x:c>
      <x:c r="K36" s="612" t="str">
        <x:v>CADREP.S1_1.8AF3</x:v>
      </x:c>
      <x:c r="L36" s="612" t="str">
        <x:v>DWG entity/layout</x:v>
      </x:c>
      <x:c r="M36" s="612" t="str">
        <x:v>One object can have many representations.</x:v>
      </x:c>
    </x:row>
    <x:row r="37">
      <x:c r="B37" s="612" t="str">
        <x:v>VRF</x:v>
      </x:c>
      <x:c r="C37" s="612" t="str">
        <x:v>Record</x:v>
      </x:c>
      <x:c r="D37" s="612" t="str">
        <x:v>VERIFICATION_RECORD</x:v>
      </x:c>
      <x:c r="E37" s="612" t="str">
        <x:v>Any functional object</x:v>
      </x:c>
      <x:c r="F37" s="612" t="str">
        <x:v>Capture calculation/QA/approval evidence</x:v>
      </x:c>
      <x:c r="G37" s="612" t="str">
        <x:v>calc IDs/source IDs/approvals</x:v>
      </x:c>
      <x:c r="H37" s="612" t="str">
        <x:v>N/A</x:v>
      </x:c>
      <x:c r="I37" s="612" t="str">
        <x:v>PASS/FAIL/REVIEW</x:v>
      </x:c>
      <x:c r="J37" s="612" t="str">
        <x:v>N/A</x:v>
      </x:c>
      <x:c r="K37" s="612" t="str">
        <x:v>VRF-###</x:v>
      </x:c>
      <x:c r="L37" s="612" t="str">
        <x:v>Calculation/report record</x:v>
      </x:c>
      <x:c r="M37" s="612" t="str">
        <x:v>Not a physical cost item.</x:v>
      </x:c>
    </x:row>
    <x:row r="38">
      <x:c r="B38" s="140"/>
      <x:c r="C38" s="140"/>
      <x:c r="D38" s="140"/>
      <x:c r="E38" s="140"/>
      <x:c r="F38" s="140"/>
      <x:c r="G38" s="140"/>
      <x:c r="H38" s="140"/>
      <x:c r="I38" s="140"/>
      <x:c r="J38" s="140"/>
      <x:c r="K38" s="140"/>
      <x:c r="L38" s="140"/>
      <x:c r="M38" s="140"/>
    </x:row>
    <x:row r="39">
      <x:c r="B39" s="140"/>
      <x:c r="C39" s="140"/>
      <x:c r="D39" s="140"/>
      <x:c r="E39" s="140"/>
      <x:c r="F39" s="140"/>
      <x:c r="G39" s="140"/>
      <x:c r="H39" s="140"/>
      <x:c r="I39" s="140"/>
      <x:c r="J39" s="140"/>
      <x:c r="K39" s="140"/>
      <x:c r="L39" s="140"/>
      <x:c r="M39" s="140"/>
    </x:row>
    <x:row r="40">
      <x:c r="B40" s="140"/>
      <x:c r="C40" s="140"/>
      <x:c r="D40" s="140"/>
      <x:c r="E40" s="140"/>
      <x:c r="F40" s="140"/>
      <x:c r="G40" s="140"/>
      <x:c r="H40" s="140"/>
      <x:c r="I40" s="140"/>
      <x:c r="J40" s="140"/>
      <x:c r="K40" s="140"/>
      <x:c r="L40" s="140"/>
      <x:c r="M40" s="140"/>
    </x:row>
  </x:sheetData>
  <x:mergeCells>
    <x:mergeCell ref="B2:M2"/>
    <x:mergeCell ref="B4:M4"/>
  </x:mergeCells>
  <x:pageMargins left="0.7" right="0.7" top="0.75" bottom="0.75" header="0.3" footer="0.3"/>
</x:worksheet>
</file>

<file path=xl/worksheets/sheet48.xml><?xml version="1.0" encoding="utf-8"?>
<x:worksheet xmlns:x="http://schemas.openxmlformats.org/spreadsheetml/2006/main">
  <x:sheetFormatPr defaultRowHeight="15"/>
  <x:cols>
    <x:col min="2" max="2" width="8" hidden="0" customWidth="1"/>
    <x:col min="3" max="3" width="30" hidden="0" customWidth="1"/>
    <x:col min="4" max="4" width="34" hidden="0" customWidth="1"/>
    <x:col min="5" max="5" width="17" hidden="0" customWidth="1"/>
    <x:col min="6" max="6" width="22" hidden="0" customWidth="1"/>
    <x:col min="7" max="7" width="26" hidden="0" customWidth="1"/>
    <x:col min="8" max="8" width="34" hidden="0" customWidth="1"/>
    <x:col min="9" max="9" width="32" hidden="0" customWidth="1"/>
    <x:col min="10" max="10" width="34" hidden="0" customWidth="1"/>
    <x:col min="11" max="11" width="12" hidden="0" customWidth="1"/>
    <x:col min="12" max="12" width="10" hidden="0" customWidth="1"/>
    <x:col min="13" max="13" width="10" hidden="0" customWidth="1"/>
    <x:col min="14" max="14" width="12" hidden="0" customWidth="1"/>
    <x:col min="15" max="15" width="16" hidden="0" customWidth="1"/>
    <x:col min="16" max="16" width="16" hidden="0" customWidth="1"/>
    <x:col min="17" max="17" width="15" hidden="0" customWidth="1"/>
    <x:col min="18" max="18" width="14" hidden="0" customWidth="1"/>
    <x:col min="19" max="19" width="14" hidden="0" customWidth="1"/>
    <x:col min="20" max="20" width="15" hidden="0" customWidth="1"/>
    <x:col min="21" max="21" width="14" hidden="0" customWidth="1"/>
    <x:col min="22" max="22" width="16" hidden="0" customWidth="1"/>
    <x:col min="23" max="23" width="30" hidden="0" customWidth="1"/>
    <x:col min="24" max="24" width="22" hidden="0" customWidth="1"/>
    <x:col min="25" max="25" width="26" hidden="0" customWidth="1"/>
    <x:col min="26" max="26" width="14" hidden="0" customWidth="1"/>
    <x:col min="27" max="27" width="18" hidden="0" customWidth="1"/>
  </x:cols>
  <x:sheetData>
    <x:row r="1">
      <x:c r="B1" s="140"/>
      <x:c r="C1" s="140"/>
      <x:c r="D1" s="140"/>
      <x:c r="E1" s="140"/>
      <x:c r="F1" s="140"/>
      <x:c r="G1" s="140"/>
      <x:c r="H1" s="140"/>
      <x:c r="I1" s="140"/>
      <x:c r="J1" s="140"/>
      <x:c r="K1" s="140"/>
      <x:c r="L1" s="140"/>
      <x:c r="M1" s="140"/>
      <x:c r="N1" s="140"/>
      <x:c r="O1" s="140"/>
      <x:c r="P1" s="140"/>
      <x:c r="Q1" s="140"/>
      <x:c r="R1" s="140"/>
      <x:c r="S1" s="140"/>
      <x:c r="T1" s="140"/>
      <x:c r="U1" s="140"/>
      <x:c r="V1" s="140"/>
      <x:c r="W1" s="140"/>
    </x:row>
    <x:row r="2" ht="28" customHeight="1">
      <x:c r="B2" s="599" t="str">
        <x:v>EXAMPLE WORKING ASSEMBLY BUILD-OUT — FUNCTIONAL HIERARCHY + COST-READY BOM</x:v>
      </x:c>
      <x:c r="C2" s="599"/>
      <x:c r="D2" s="599"/>
      <x:c r="E2" s="599"/>
      <x:c r="F2" s="599"/>
      <x:c r="G2" s="599"/>
      <x:c r="H2" s="599"/>
      <x:c r="I2" s="599"/>
      <x:c r="J2" s="599"/>
      <x:c r="K2" s="599"/>
      <x:c r="L2" s="599"/>
      <x:c r="M2" s="599"/>
      <x:c r="N2" s="599"/>
      <x:c r="O2" s="599"/>
      <x:c r="P2" s="599"/>
      <x:c r="Q2" s="599"/>
      <x:c r="R2" s="599"/>
      <x:c r="S2" s="599"/>
      <x:c r="T2" s="599"/>
      <x:c r="U2" s="599"/>
      <x:c r="V2" s="599"/>
      <x:c r="W2" s="140"/>
    </x:row>
    <x:row r="3">
      <x:c r="B3" s="140"/>
      <x:c r="C3" s="140"/>
      <x:c r="D3" s="140"/>
      <x:c r="E3" s="140"/>
      <x:c r="F3" s="140"/>
      <x:c r="G3" s="140"/>
      <x:c r="H3" s="140"/>
      <x:c r="I3" s="140"/>
      <x:c r="J3" s="140"/>
      <x:c r="K3" s="140"/>
      <x:c r="L3" s="140"/>
      <x:c r="M3" s="140"/>
      <x:c r="N3" s="140"/>
      <x:c r="O3" s="140"/>
      <x:c r="P3" s="140"/>
      <x:c r="Q3" s="140"/>
      <x:c r="R3" s="140"/>
      <x:c r="S3" s="140"/>
      <x:c r="T3" s="140"/>
      <x:c r="U3" s="140"/>
      <x:c r="V3" s="140"/>
      <x:c r="W3" s="140"/>
    </x:row>
    <x:row r="4">
      <x:c r="B4" s="614" t="str">
        <x:v>EXAMPLE ONLY — NOT A PROJECT DESIGN OR PRESCRIPTIVE DETAIL. This sheet demonstrates how a semantic working object can break down into the physical items needed for it to function, while preserving quantity, unit, source, and future cost fields. Unit costs/labor rates are intentionally blank. Geometry and verified product rules should drive quantities in the future app.</x:v>
      </x:c>
      <x:c r="C4" s="614"/>
      <x:c r="D4" s="614"/>
      <x:c r="E4" s="614"/>
      <x:c r="F4" s="614"/>
      <x:c r="G4" s="614"/>
      <x:c r="H4" s="614"/>
      <x:c r="I4" s="614"/>
      <x:c r="J4" s="614"/>
      <x:c r="K4" s="614"/>
      <x:c r="L4" s="614"/>
      <x:c r="M4" s="614"/>
      <x:c r="N4" s="614"/>
      <x:c r="O4" s="614"/>
      <x:c r="P4" s="614"/>
      <x:c r="Q4" s="614"/>
      <x:c r="R4" s="614"/>
      <x:c r="S4" s="614"/>
      <x:c r="T4" s="614"/>
      <x:c r="U4" s="614"/>
      <x:c r="V4" s="614"/>
      <x:c r="W4" s="140"/>
    </x:row>
    <x:row r="5">
      <x:c r="B5" s="614"/>
      <x:c r="C5" s="614"/>
      <x:c r="D5" s="614"/>
      <x:c r="E5" s="614"/>
      <x:c r="F5" s="614"/>
      <x:c r="G5" s="614"/>
      <x:c r="H5" s="614"/>
      <x:c r="I5" s="614"/>
      <x:c r="J5" s="614"/>
      <x:c r="K5" s="614"/>
      <x:c r="L5" s="614"/>
      <x:c r="M5" s="614"/>
      <x:c r="N5" s="614"/>
      <x:c r="O5" s="614"/>
      <x:c r="P5" s="614"/>
      <x:c r="Q5" s="614"/>
      <x:c r="R5" s="614"/>
      <x:c r="S5" s="614"/>
      <x:c r="T5" s="614"/>
      <x:c r="U5" s="614"/>
      <x:c r="V5" s="614"/>
      <x:c r="W5" s="140"/>
    </x:row>
    <x:row r="6">
      <x:c r="B6" s="140"/>
      <x:c r="C6" s="140"/>
      <x:c r="D6" s="140"/>
      <x:c r="E6" s="140"/>
      <x:c r="F6" s="140"/>
      <x:c r="G6" s="140"/>
      <x:c r="H6" s="140"/>
      <x:c r="I6" s="140"/>
      <x:c r="J6" s="140"/>
      <x:c r="K6" s="140"/>
      <x:c r="L6" s="140"/>
      <x:c r="M6" s="140"/>
      <x:c r="N6" s="140"/>
      <x:c r="O6" s="140"/>
      <x:c r="P6" s="140"/>
      <x:c r="Q6" s="140"/>
      <x:c r="R6" s="140"/>
      <x:c r="S6" s="140"/>
      <x:c r="T6" s="140"/>
      <x:c r="U6" s="140"/>
      <x:c r="V6" s="140"/>
      <x:c r="W6" s="140"/>
    </x:row>
    <x:row r="7">
      <x:c r="B7" s="604" t="str">
        <x:v>EXAMPLE A — CONNECTION.CN014 (BOLTED WOOD CONNECTION AS A COMPLETE WORKING UNIT)</x:v>
      </x:c>
      <x:c r="C7" s="604"/>
      <x:c r="D7" s="604"/>
      <x:c r="E7" s="604"/>
      <x:c r="F7" s="604"/>
      <x:c r="G7" s="604"/>
      <x:c r="H7" s="604"/>
      <x:c r="I7" s="604"/>
      <x:c r="J7" s="604"/>
      <x:c r="K7" s="604"/>
      <x:c r="L7" s="604"/>
      <x:c r="M7" s="604"/>
      <x:c r="N7" s="604"/>
      <x:c r="O7" s="604"/>
      <x:c r="P7" s="604"/>
      <x:c r="Q7" s="604"/>
      <x:c r="R7" s="604"/>
      <x:c r="S7" s="604"/>
      <x:c r="T7" s="604"/>
      <x:c r="U7" s="604"/>
      <x:c r="V7" s="604"/>
      <x:c r="W7" s="140"/>
    </x:row>
    <x:row r="8">
      <x:c r="B8" s="610" t="str">
        <x:v>Level</x:v>
      </x:c>
      <x:c r="C8" s="610" t="str">
        <x:v>Parent ID</x:v>
      </x:c>
      <x:c r="D8" s="610" t="str">
        <x:v>Item ID</x:v>
      </x:c>
      <x:c r="E8" s="610" t="str">
        <x:v>Class</x:v>
      </x:c>
      <x:c r="F8" s="610" t="str">
        <x:v>Type</x:v>
      </x:c>
      <x:c r="G8" s="610" t="str">
        <x:v>Human Description</x:v>
      </x:c>
      <x:c r="H8" s="610" t="str">
        <x:v>Function / Why Needed</x:v>
      </x:c>
      <x:c r="I8" s="610" t="str">
        <x:v>Material / Product Spec</x:v>
      </x:c>
      <x:c r="J8" s="610" t="str">
        <x:v>Qty Basis</x:v>
      </x:c>
      <x:c r="K8" s="610" t="str">
        <x:v>Base Qty</x:v>
      </x:c>
      <x:c r="L8" s="610" t="str">
        <x:v>Unit</x:v>
      </x:c>
      <x:c r="M8" s="610" t="str">
        <x:v>Waste %</x:v>
      </x:c>
      <x:c r="N8" s="610" t="str">
        <x:v>Cost Qty</x:v>
      </x:c>
      <x:c r="O8" s="610" t="str">
        <x:v>Unit Material Cost</x:v>
      </x:c>
      <x:c r="P8" s="610" t="str">
        <x:v>Material Cost</x:v>
      </x:c>
      <x:c r="Q8" s="610" t="str">
        <x:v>Labor Hrs / Unit</x:v>
      </x:c>
      <x:c r="R8" s="610" t="str">
        <x:v>Labor Hrs</x:v>
      </x:c>
      <x:c r="S8" s="610" t="str">
        <x:v>Labor Rate</x:v>
      </x:c>
      <x:c r="T8" s="610" t="str">
        <x:v>Labor Cost</x:v>
      </x:c>
      <x:c r="U8" s="610" t="str">
        <x:v>Other Cost</x:v>
      </x:c>
      <x:c r="V8" s="610" t="str">
        <x:v>Extended Cost</x:v>
      </x:c>
      <x:c r="W8" s="610" t="str">
        <x:v>Source / Verification</x:v>
      </x:c>
      <x:c r="X8" s="610" t="str">
        <x:v>Internal Cost Code</x:v>
      </x:c>
      <x:c r="Y8" s="610" t="str">
        <x:v>Price Source / Vendor</x:v>
      </x:c>
      <x:c r="Z8" s="610" t="str">
        <x:v>Price Date</x:v>
      </x:c>
      <x:c r="AA8" s="610" t="str">
        <x:v>Region / Market</x:v>
      </x:c>
    </x:row>
    <x:row r="9">
      <x:c r="B9" s="612" t="n">
        <x:v>0</x:v>
      </x:c>
      <x:c r="C9" s="612"/>
      <x:c r="D9" s="612" t="str">
        <x:v>STRUCT.CONNECTION.CN014</x:v>
      </x:c>
      <x:c r="E9" s="612" t="str">
        <x:v>Assembly</x:v>
      </x:c>
      <x:c r="F9" s="612" t="str">
        <x:v>CONNECTION</x:v>
      </x:c>
      <x:c r="G9" s="612" t="str">
        <x:v>Connection CN014</x:v>
      </x:c>
      <x:c r="H9" s="612" t="str">
        <x:v>Transfer design force between connected wood members</x:v>
      </x:c>
      <x:c r="I9" s="612" t="str">
        <x:v>Project-specific engineered connection</x:v>
      </x:c>
      <x:c r="J9" s="612" t="str">
        <x:v>1 assembly</x:v>
      </x:c>
      <x:c r="K9" s="641" t="n">
        <x:v>1</x:v>
      </x:c>
      <x:c r="L9" s="641" t="str">
        <x:v>EA</x:v>
      </x:c>
      <x:c r="M9" s="642" t="n">
        <x:v>0</x:v>
      </x:c>
      <x:c r="N9" s="641" t="n">
        <x:f>IF(K9="","",K9*(1+IF(M9="",0,M9)))</x:f>
        <x:v>1</x:v>
      </x:c>
      <x:c r="O9" s="643"/>
      <x:c r="P9" s="643" t="str">
        <x:f>IF(OR(N9="",O9=""),"",N9*O9)</x:f>
      </x:c>
      <x:c r="Q9" s="643"/>
      <x:c r="R9" s="643" t="str">
        <x:f>IF(OR(N9="",Q9=""),"",N9*Q9)</x:f>
      </x:c>
      <x:c r="S9" s="643"/>
      <x:c r="T9" s="643" t="str">
        <x:f>IF(OR(R9="",S9=""),"",R9*S9)</x:f>
      </x:c>
      <x:c r="U9" s="643"/>
      <x:c r="V9" s="644" t="str">
        <x:f>IF(AND(P9="",T9="",U9=""),"",SUM(IF(P9="",0,P9),IF(T9="",0,T9),IF(U9="",0,U9)))</x:f>
      </x:c>
      <x:c r="W9" s="612" t="str">
        <x:v>NDS/project calculation</x:v>
      </x:c>
      <x:c r="X9" s="641" t="str">
        <x:v>ASM.CONNECTION</x:v>
      </x:c>
      <x:c r="Y9" s="641"/>
      <x:c r="Z9" s="650"/>
      <x:c r="AA9" s="641"/>
    </x:row>
    <x:row r="10">
      <x:c r="B10" s="612" t="n">
        <x:v>1</x:v>
      </x:c>
      <x:c r="C10" s="612" t="str">
        <x:v>STRUCT.CONNECTION.CN014</x:v>
      </x:c>
      <x:c r="D10" s="612" t="str">
        <x:v>STRUCT.MEMBER.CN014.MAIN</x:v>
      </x:c>
      <x:c r="E10" s="612" t="str">
        <x:v>Object/Part</x:v>
      </x:c>
      <x:c r="F10" s="612" t="str">
        <x:v>WOOD_MEMBER</x:v>
      </x:c>
      <x:c r="G10" s="612" t="str">
        <x:v>Main wood member</x:v>
      </x:c>
      <x:c r="H10" s="612" t="str">
        <x:v>Primary connected structural member</x:v>
      </x:c>
      <x:c r="I10" s="612" t="str">
        <x:v>Project-selected species/grade/size</x:v>
      </x:c>
      <x:c r="J10" s="612" t="str">
        <x:v>From object geometry</x:v>
      </x:c>
      <x:c r="K10" s="641" t="n">
        <x:v>1</x:v>
      </x:c>
      <x:c r="L10" s="641" t="str">
        <x:v>EA</x:v>
      </x:c>
      <x:c r="M10" s="642" t="n">
        <x:v>0</x:v>
      </x:c>
      <x:c r="N10" s="641" t="n">
        <x:f>IF(K10="","",K10*(1+IF(M10="",0,M10)))</x:f>
        <x:v>1</x:v>
      </x:c>
      <x:c r="O10" s="643"/>
      <x:c r="P10" s="643" t="str">
        <x:f>IF(OR(N10="",O10=""),"",N10*O10)</x:f>
      </x:c>
      <x:c r="Q10" s="643"/>
      <x:c r="R10" s="643" t="str">
        <x:f>IF(OR(N10="",Q10=""),"",N10*Q10)</x:f>
      </x:c>
      <x:c r="S10" s="643"/>
      <x:c r="T10" s="643" t="str">
        <x:f>IF(OR(R10="",S10=""),"",R10*S10)</x:f>
      </x:c>
      <x:c r="U10" s="643"/>
      <x:c r="V10" s="644" t="str">
        <x:f>IF(AND(P10="",T10="",U10=""),"",SUM(IF(P10="",0,P10),IF(T10="",0,T10),IF(U10="",0,U10)))</x:f>
      </x:c>
      <x:c r="W10" s="612" t="str">
        <x:v>NDS/member source</x:v>
      </x:c>
      <x:c r="X10" s="641" t="str">
        <x:v>MAT.WOOD_MEMBER</x:v>
      </x:c>
      <x:c r="Y10" s="641"/>
      <x:c r="Z10" s="650"/>
      <x:c r="AA10" s="641"/>
    </x:row>
    <x:row r="11">
      <x:c r="B11" s="612" t="n">
        <x:v>1</x:v>
      </x:c>
      <x:c r="C11" s="612" t="str">
        <x:v>STRUCT.CONNECTION.CN014</x:v>
      </x:c>
      <x:c r="D11" s="612" t="str">
        <x:v>STRUCT.MEMBER.CN014.SIDE</x:v>
      </x:c>
      <x:c r="E11" s="612" t="str">
        <x:v>Object/Part</x:v>
      </x:c>
      <x:c r="F11" s="612" t="str">
        <x:v>WOOD_MEMBER</x:v>
      </x:c>
      <x:c r="G11" s="612" t="str">
        <x:v>Side wood member</x:v>
      </x:c>
      <x:c r="H11" s="612" t="str">
        <x:v>Secondary connected structural member</x:v>
      </x:c>
      <x:c r="I11" s="612" t="str">
        <x:v>Project-selected species/grade/size</x:v>
      </x:c>
      <x:c r="J11" s="612" t="str">
        <x:v>From object geometry</x:v>
      </x:c>
      <x:c r="K11" s="641" t="n">
        <x:v>1</x:v>
      </x:c>
      <x:c r="L11" s="641" t="str">
        <x:v>EA</x:v>
      </x:c>
      <x:c r="M11" s="642" t="n">
        <x:v>0</x:v>
      </x:c>
      <x:c r="N11" s="641" t="n">
        <x:f>IF(K11="","",K11*(1+IF(M11="",0,M11)))</x:f>
        <x:v>1</x:v>
      </x:c>
      <x:c r="O11" s="643"/>
      <x:c r="P11" s="643" t="str">
        <x:f>IF(OR(N11="",O11=""),"",N11*O11)</x:f>
      </x:c>
      <x:c r="Q11" s="643"/>
      <x:c r="R11" s="643" t="str">
        <x:f>IF(OR(N11="",Q11=""),"",N11*Q11)</x:f>
      </x:c>
      <x:c r="S11" s="643"/>
      <x:c r="T11" s="643" t="str">
        <x:f>IF(OR(R11="",S11=""),"",R11*S11)</x:f>
      </x:c>
      <x:c r="U11" s="643"/>
      <x:c r="V11" s="644" t="str">
        <x:f>IF(AND(P11="",T11="",U11=""),"",SUM(IF(P11="",0,P11),IF(T11="",0,T11),IF(U11="",0,U11)))</x:f>
      </x:c>
      <x:c r="W11" s="612" t="str">
        <x:v>NDS/member source</x:v>
      </x:c>
      <x:c r="X11" s="641" t="str">
        <x:v>MAT.WOOD_MEMBER</x:v>
      </x:c>
      <x:c r="Y11" s="641"/>
      <x:c r="Z11" s="650"/>
      <x:c r="AA11" s="641"/>
    </x:row>
    <x:row r="12">
      <x:c r="B12" s="612" t="n">
        <x:v>1</x:v>
      </x:c>
      <x:c r="C12" s="612" t="str">
        <x:v>STRUCT.CONNECTION.CN014</x:v>
      </x:c>
      <x:c r="D12" s="612" t="str">
        <x:v>STRUCT.CONNECTION.CN014.FG01</x:v>
      </x:c>
      <x:c r="E12" s="612" t="str">
        <x:v>Component</x:v>
      </x:c>
      <x:c r="F12" s="612" t="str">
        <x:v>FASTENER_GROUP</x:v>
      </x:c>
      <x:c r="G12" s="612" t="str">
        <x:v>Bolt group FG01</x:v>
      </x:c>
      <x:c r="H12" s="612" t="str">
        <x:v>Provide required connection force transfer</x:v>
      </x:c>
      <x:c r="I12" s="612" t="str">
        <x:v>4-bolt example layout</x:v>
      </x:c>
      <x:c r="J12" s="612" t="str">
        <x:v>Verified connection layout</x:v>
      </x:c>
      <x:c r="K12" s="641" t="n">
        <x:v>1</x:v>
      </x:c>
      <x:c r="L12" s="641" t="str">
        <x:v>GROUP</x:v>
      </x:c>
      <x:c r="M12" s="642" t="n">
        <x:v>0</x:v>
      </x:c>
      <x:c r="N12" s="641" t="n">
        <x:f>IF(K12="","",K12*(1+IF(M12="",0,M12)))</x:f>
        <x:v>1</x:v>
      </x:c>
      <x:c r="O12" s="643"/>
      <x:c r="P12" s="643" t="str">
        <x:f>IF(OR(N12="",O12=""),"",N12*O12)</x:f>
      </x:c>
      <x:c r="Q12" s="643"/>
      <x:c r="R12" s="643" t="str">
        <x:f>IF(OR(N12="",Q12=""),"",N12*Q12)</x:f>
      </x:c>
      <x:c r="S12" s="643"/>
      <x:c r="T12" s="643" t="str">
        <x:f>IF(OR(R12="",S12=""),"",R12*S12)</x:f>
      </x:c>
      <x:c r="U12" s="643"/>
      <x:c r="V12" s="644" t="str">
        <x:f>IF(AND(P12="",T12="",U12=""),"",SUM(IF(P12="",0,P12),IF(T12="",0,T12),IF(U12="",0,U12)))</x:f>
      </x:c>
      <x:c r="W12" s="612" t="str">
        <x:v>NDS connection calc</x:v>
      </x:c>
      <x:c r="X12" s="641" t="str">
        <x:v>ASM.FASTENER_GROUP</x:v>
      </x:c>
      <x:c r="Y12" s="641"/>
      <x:c r="Z12" s="650"/>
      <x:c r="AA12" s="641"/>
    </x:row>
    <x:row r="13">
      <x:c r="B13" s="612" t="n">
        <x:v>2</x:v>
      </x:c>
      <x:c r="C13" s="612" t="str">
        <x:v>STRUCT.CONNECTION.CN014.FG01</x:v>
      </x:c>
      <x:c r="D13" s="612" t="str">
        <x:v>STRUCT.CONNECTION.CN014.BOLT.01</x:v>
      </x:c>
      <x:c r="E13" s="612" t="str">
        <x:v>Part</x:v>
      </x:c>
      <x:c r="F13" s="612" t="str">
        <x:v>BOLT</x:v>
      </x:c>
      <x:c r="G13" s="612" t="str">
        <x:v>Through bolts</x:v>
      </x:c>
      <x:c r="H13" s="612" t="str">
        <x:v>Dowel-type fasteners</x:v>
      </x:c>
      <x:c r="I13" s="612" t="str">
        <x:v>Diameter/grade/length from verified design</x:v>
      </x:c>
      <x:c r="J13" s="612" t="str">
        <x:v>Bolt count</x:v>
      </x:c>
      <x:c r="K13" s="641" t="n">
        <x:v>4</x:v>
      </x:c>
      <x:c r="L13" s="641" t="str">
        <x:v>EA</x:v>
      </x:c>
      <x:c r="M13" s="642" t="n">
        <x:v>0.02</x:v>
      </x:c>
      <x:c r="N13" s="641" t="n">
        <x:f>IF(K13="","",K13*(1+IF(M13="",0,M13)))</x:f>
        <x:v>4.08</x:v>
      </x:c>
      <x:c r="O13" s="643"/>
      <x:c r="P13" s="643" t="str">
        <x:f>IF(OR(N13="",O13=""),"",N13*O13)</x:f>
      </x:c>
      <x:c r="Q13" s="643"/>
      <x:c r="R13" s="643" t="str">
        <x:f>IF(OR(N13="",Q13=""),"",N13*Q13)</x:f>
      </x:c>
      <x:c r="S13" s="643"/>
      <x:c r="T13" s="643" t="str">
        <x:f>IF(OR(R13="",S13=""),"",R13*S13)</x:f>
      </x:c>
      <x:c r="U13" s="643"/>
      <x:c r="V13" s="644" t="str">
        <x:f>IF(AND(P13="",T13="",U13=""),"",SUM(IF(P13="",0,P13),IF(T13="",0,T13),IF(U13="",0,U13)))</x:f>
      </x:c>
      <x:c r="W13" s="612" t="str">
        <x:v>NDS/source</x:v>
      </x:c>
      <x:c r="X13" s="641" t="str">
        <x:v>MAT.BOLT</x:v>
      </x:c>
      <x:c r="Y13" s="641"/>
      <x:c r="Z13" s="650"/>
      <x:c r="AA13" s="641"/>
    </x:row>
    <x:row r="14">
      <x:c r="B14" s="612" t="n">
        <x:v>2</x:v>
      </x:c>
      <x:c r="C14" s="612" t="str">
        <x:v>STRUCT.CONNECTION.CN014.FG01</x:v>
      </x:c>
      <x:c r="D14" s="612" t="str">
        <x:v>STRUCT.CONNECTION.CN014.NUT.01</x:v>
      </x:c>
      <x:c r="E14" s="612" t="str">
        <x:v>Part</x:v>
      </x:c>
      <x:c r="F14" s="612" t="str">
        <x:v>NUT</x:v>
      </x:c>
      <x:c r="G14" s="612" t="str">
        <x:v>Nuts</x:v>
      </x:c>
      <x:c r="H14" s="612" t="str">
        <x:v>Develop each through-bolt connection</x:v>
      </x:c>
      <x:c r="I14" s="612" t="str">
        <x:v>Compatible nut/grade</x:v>
      </x:c>
      <x:c r="J14" s="612" t="str">
        <x:v>1 per bolt</x:v>
      </x:c>
      <x:c r="K14" s="641" t="n">
        <x:v>4</x:v>
      </x:c>
      <x:c r="L14" s="641" t="str">
        <x:v>EA</x:v>
      </x:c>
      <x:c r="M14" s="642" t="n">
        <x:v>0.02</x:v>
      </x:c>
      <x:c r="N14" s="641" t="n">
        <x:f>IF(K14="","",K14*(1+IF(M14="",0,M14)))</x:f>
        <x:v>4.08</x:v>
      </x:c>
      <x:c r="O14" s="643"/>
      <x:c r="P14" s="643" t="str">
        <x:f>IF(OR(N14="",O14=""),"",N14*O14)</x:f>
      </x:c>
      <x:c r="Q14" s="643"/>
      <x:c r="R14" s="643" t="str">
        <x:f>IF(OR(N14="",Q14=""),"",N14*Q14)</x:f>
      </x:c>
      <x:c r="S14" s="643"/>
      <x:c r="T14" s="643" t="str">
        <x:f>IF(OR(R14="",S14=""),"",R14*S14)</x:f>
      </x:c>
      <x:c r="U14" s="643"/>
      <x:c r="V14" s="644" t="str">
        <x:f>IF(AND(P14="",T14="",U14=""),"",SUM(IF(P14="",0,P14),IF(T14="",0,T14),IF(U14="",0,U14)))</x:f>
      </x:c>
      <x:c r="W14" s="612" t="str">
        <x:v>Hardware spec</x:v>
      </x:c>
      <x:c r="X14" s="641" t="str">
        <x:v>MAT.NUT</x:v>
      </x:c>
      <x:c r="Y14" s="641"/>
      <x:c r="Z14" s="650"/>
      <x:c r="AA14" s="641"/>
    </x:row>
    <x:row r="15">
      <x:c r="B15" s="612" t="n">
        <x:v>2</x:v>
      </x:c>
      <x:c r="C15" s="612" t="str">
        <x:v>STRUCT.CONNECTION.CN014.FG01</x:v>
      </x:c>
      <x:c r="D15" s="612" t="str">
        <x:v>STRUCT.CONNECTION.CN014.WASHER.A</x:v>
      </x:c>
      <x:c r="E15" s="612" t="str">
        <x:v>Part</x:v>
      </x:c>
      <x:c r="F15" s="612" t="str">
        <x:v>WASHER</x:v>
      </x:c>
      <x:c r="G15" s="612" t="str">
        <x:v>Washer — side A</x:v>
      </x:c>
      <x:c r="H15" s="612" t="str">
        <x:v>Distribute bearing / satisfy detail</x:v>
      </x:c>
      <x:c r="I15" s="612" t="str">
        <x:v>Verified washer size/thickness</x:v>
      </x:c>
      <x:c r="J15" s="612" t="str">
        <x:v>1 per bolt at side A</x:v>
      </x:c>
      <x:c r="K15" s="641" t="n">
        <x:v>4</x:v>
      </x:c>
      <x:c r="L15" s="641" t="str">
        <x:v>EA</x:v>
      </x:c>
      <x:c r="M15" s="642" t="n">
        <x:v>0.02</x:v>
      </x:c>
      <x:c r="N15" s="641" t="n">
        <x:f>IF(K15="","",K15*(1+IF(M15="",0,M15)))</x:f>
        <x:v>4.08</x:v>
      </x:c>
      <x:c r="O15" s="643"/>
      <x:c r="P15" s="643" t="str">
        <x:f>IF(OR(N15="",O15=""),"",N15*O15)</x:f>
      </x:c>
      <x:c r="Q15" s="643"/>
      <x:c r="R15" s="643" t="str">
        <x:f>IF(OR(N15="",Q15=""),"",N15*Q15)</x:f>
      </x:c>
      <x:c r="S15" s="643"/>
      <x:c r="T15" s="643" t="str">
        <x:f>IF(OR(R15="",S15=""),"",R15*S15)</x:f>
      </x:c>
      <x:c r="U15" s="643"/>
      <x:c r="V15" s="644" t="str">
        <x:f>IF(AND(P15="",T15="",U15=""),"",SUM(IF(P15="",0,P15),IF(T15="",0,T15),IF(U15="",0,U15)))</x:f>
      </x:c>
      <x:c r="W15" s="612" t="str">
        <x:v>NDS/detail</x:v>
      </x:c>
      <x:c r="X15" s="641" t="str">
        <x:v>MAT.WASHER</x:v>
      </x:c>
      <x:c r="Y15" s="641"/>
      <x:c r="Z15" s="650"/>
      <x:c r="AA15" s="641"/>
    </x:row>
    <x:row r="16">
      <x:c r="B16" s="612" t="n">
        <x:v>2</x:v>
      </x:c>
      <x:c r="C16" s="612" t="str">
        <x:v>STRUCT.CONNECTION.CN014.FG01</x:v>
      </x:c>
      <x:c r="D16" s="612" t="str">
        <x:v>STRUCT.CONNECTION.CN014.WASHER.B</x:v>
      </x:c>
      <x:c r="E16" s="612" t="str">
        <x:v>Part</x:v>
      </x:c>
      <x:c r="F16" s="612" t="str">
        <x:v>WASHER</x:v>
      </x:c>
      <x:c r="G16" s="612" t="str">
        <x:v>Washer — side B</x:v>
      </x:c>
      <x:c r="H16" s="612" t="str">
        <x:v>Distribute bearing / satisfy detail</x:v>
      </x:c>
      <x:c r="I16" s="612" t="str">
        <x:v>Verified washer size/thickness</x:v>
      </x:c>
      <x:c r="J16" s="612" t="str">
        <x:v>1 per bolt at side B</x:v>
      </x:c>
      <x:c r="K16" s="641" t="n">
        <x:v>4</x:v>
      </x:c>
      <x:c r="L16" s="641" t="str">
        <x:v>EA</x:v>
      </x:c>
      <x:c r="M16" s="642" t="n">
        <x:v>0.02</x:v>
      </x:c>
      <x:c r="N16" s="641" t="n">
        <x:f>IF(K16="","",K16*(1+IF(M16="",0,M16)))</x:f>
        <x:v>4.08</x:v>
      </x:c>
      <x:c r="O16" s="643"/>
      <x:c r="P16" s="643" t="str">
        <x:f>IF(OR(N16="",O16=""),"",N16*O16)</x:f>
      </x:c>
      <x:c r="Q16" s="643"/>
      <x:c r="R16" s="643" t="str">
        <x:f>IF(OR(N16="",Q16=""),"",N16*Q16)</x:f>
      </x:c>
      <x:c r="S16" s="643"/>
      <x:c r="T16" s="643" t="str">
        <x:f>IF(OR(R16="",S16=""),"",R16*S16)</x:f>
      </x:c>
      <x:c r="U16" s="643"/>
      <x:c r="V16" s="644" t="str">
        <x:f>IF(AND(P16="",T16="",U16=""),"",SUM(IF(P16="",0,P16),IF(T16="",0,T16),IF(U16="",0,U16)))</x:f>
      </x:c>
      <x:c r="W16" s="612" t="str">
        <x:v>NDS/detail</x:v>
      </x:c>
      <x:c r="X16" s="641" t="str">
        <x:v>MAT.WASHER</x:v>
      </x:c>
      <x:c r="Y16" s="641"/>
      <x:c r="Z16" s="650"/>
      <x:c r="AA16" s="641"/>
    </x:row>
    <x:row r="17">
      <x:c r="B17" s="612" t="n">
        <x:v>1</x:v>
      </x:c>
      <x:c r="C17" s="612" t="str">
        <x:v>STRUCT.CONNECTION.CN014</x:v>
      </x:c>
      <x:c r="D17" s="612" t="str">
        <x:v>STRUCT.CONNECTION.CN014.HOLES</x:v>
      </x:c>
      <x:c r="E17" s="612" t="str">
        <x:v>Work Item</x:v>
      </x:c>
      <x:c r="F17" s="612" t="str">
        <x:v>DRILLING</x:v>
      </x:c>
      <x:c r="G17" s="612" t="str">
        <x:v>Bolt holes</x:v>
      </x:c>
      <x:c r="H17" s="612" t="str">
        <x:v>Create installed fastener geometry</x:v>
      </x:c>
      <x:c r="I17" s="612" t="str">
        <x:v>Hole diameter/tolerance per verified detail</x:v>
      </x:c>
      <x:c r="J17" s="612" t="str">
        <x:v>1 per bolt</x:v>
      </x:c>
      <x:c r="K17" s="641" t="n">
        <x:v>4</x:v>
      </x:c>
      <x:c r="L17" s="641" t="str">
        <x:v>EA</x:v>
      </x:c>
      <x:c r="M17" s="642" t="n">
        <x:v>0</x:v>
      </x:c>
      <x:c r="N17" s="641" t="n">
        <x:f>IF(K17="","",K17*(1+IF(M17="",0,M17)))</x:f>
        <x:v>4</x:v>
      </x:c>
      <x:c r="O17" s="643"/>
      <x:c r="P17" s="643" t="str">
        <x:f>IF(OR(N17="",O17=""),"",N17*O17)</x:f>
      </x:c>
      <x:c r="Q17" s="643"/>
      <x:c r="R17" s="643" t="str">
        <x:f>IF(OR(N17="",Q17=""),"",N17*Q17)</x:f>
      </x:c>
      <x:c r="S17" s="643"/>
      <x:c r="T17" s="643" t="str">
        <x:f>IF(OR(R17="",S17=""),"",R17*S17)</x:f>
      </x:c>
      <x:c r="U17" s="643"/>
      <x:c r="V17" s="644" t="str">
        <x:f>IF(AND(P17="",T17="",U17=""),"",SUM(IF(P17="",0,P17),IF(T17="",0,T17),IF(U17="",0,U17)))</x:f>
      </x:c>
      <x:c r="W17" s="612" t="str">
        <x:v>Detail / installation spec</x:v>
      </x:c>
      <x:c r="X17" s="641" t="str">
        <x:v>LAB.DRILLING</x:v>
      </x:c>
      <x:c r="Y17" s="641"/>
      <x:c r="Z17" s="650"/>
      <x:c r="AA17" s="641"/>
    </x:row>
    <x:row r="18">
      <x:c r="B18" s="140"/>
      <x:c r="C18" s="140"/>
      <x:c r="D18" s="140"/>
      <x:c r="E18" s="140"/>
      <x:c r="F18" s="140"/>
      <x:c r="G18" s="140"/>
      <x:c r="H18" s="140"/>
      <x:c r="I18" s="140"/>
      <x:c r="J18" s="140"/>
      <x:c r="K18" s="645"/>
      <x:c r="L18" s="645"/>
      <x:c r="M18" s="646"/>
      <x:c r="N18" s="645"/>
      <x:c r="O18" s="647"/>
      <x:c r="P18" s="647"/>
      <x:c r="Q18" s="647"/>
      <x:c r="R18" s="647"/>
      <x:c r="S18" s="647"/>
      <x:c r="T18" s="647"/>
      <x:c r="U18" s="647"/>
      <x:c r="V18" s="648"/>
      <x:c r="W18" s="140"/>
      <x:c r="Z18" s="651"/>
    </x:row>
    <x:row r="19">
      <x:c r="B19" s="140"/>
      <x:c r="C19" s="140"/>
      <x:c r="D19" s="140"/>
      <x:c r="E19" s="140"/>
      <x:c r="F19" s="140"/>
      <x:c r="G19" s="140"/>
      <x:c r="H19" s="140"/>
      <x:c r="I19" s="140"/>
      <x:c r="J19" s="140"/>
      <x:c r="K19" s="645"/>
      <x:c r="L19" s="645"/>
      <x:c r="M19" s="646"/>
      <x:c r="N19" s="645"/>
      <x:c r="O19" s="647"/>
      <x:c r="P19" s="647"/>
      <x:c r="Q19" s="647"/>
      <x:c r="R19" s="647"/>
      <x:c r="S19" s="647"/>
      <x:c r="T19" s="647"/>
      <x:c r="U19" s="647"/>
      <x:c r="V19" s="648"/>
      <x:c r="W19" s="140"/>
      <x:c r="Z19" s="651"/>
    </x:row>
    <x:row r="20">
      <x:c r="B20" s="604" t="str">
        <x:v>EXAMPLE B — STRUCT.SHEAR_WALL.SW3 (WORKING ASSEMBLY, NOT JUST SHEATHING GRAPHICS)</x:v>
      </x:c>
      <x:c r="C20" s="604"/>
      <x:c r="D20" s="604"/>
      <x:c r="E20" s="604"/>
      <x:c r="F20" s="604"/>
      <x:c r="G20" s="604"/>
      <x:c r="H20" s="604"/>
      <x:c r="I20" s="604"/>
      <x:c r="J20" s="604"/>
      <x:c r="K20" s="623"/>
      <x:c r="L20" s="623"/>
      <x:c r="M20" s="624"/>
      <x:c r="N20" s="623"/>
      <x:c r="O20" s="628"/>
      <x:c r="P20" s="628"/>
      <x:c r="Q20" s="628"/>
      <x:c r="R20" s="628"/>
      <x:c r="S20" s="628"/>
      <x:c r="T20" s="628"/>
      <x:c r="U20" s="628"/>
      <x:c r="V20" s="631"/>
      <x:c r="W20" s="140"/>
      <x:c r="Z20" s="651"/>
    </x:row>
    <x:row r="21">
      <x:c r="B21" s="610" t="str">
        <x:v>Level</x:v>
      </x:c>
      <x:c r="C21" s="610" t="str">
        <x:v>Parent ID</x:v>
      </x:c>
      <x:c r="D21" s="610" t="str">
        <x:v>Item ID</x:v>
      </x:c>
      <x:c r="E21" s="610" t="str">
        <x:v>Class</x:v>
      </x:c>
      <x:c r="F21" s="610" t="str">
        <x:v>Type</x:v>
      </x:c>
      <x:c r="G21" s="610" t="str">
        <x:v>Human Description</x:v>
      </x:c>
      <x:c r="H21" s="610" t="str">
        <x:v>Function / Why Needed</x:v>
      </x:c>
      <x:c r="I21" s="610" t="str">
        <x:v>Material / Product Spec</x:v>
      </x:c>
      <x:c r="J21" s="610" t="str">
        <x:v>Qty Basis</x:v>
      </x:c>
      <x:c r="K21" s="625" t="str">
        <x:v>Base Qty</x:v>
      </x:c>
      <x:c r="L21" s="625" t="str">
        <x:v>Unit</x:v>
      </x:c>
      <x:c r="M21" s="626" t="str">
        <x:v>Waste %</x:v>
      </x:c>
      <x:c r="N21" s="625" t="str">
        <x:v>Cost Qty</x:v>
      </x:c>
      <x:c r="O21" s="629" t="str">
        <x:v>Unit Material Cost</x:v>
      </x:c>
      <x:c r="P21" s="629" t="str">
        <x:v>Material Cost</x:v>
      </x:c>
      <x:c r="Q21" s="629" t="str">
        <x:v>Labor Hrs / Unit</x:v>
      </x:c>
      <x:c r="R21" s="629" t="str">
        <x:v>Labor Hrs</x:v>
      </x:c>
      <x:c r="S21" s="629" t="str">
        <x:v>Labor Rate</x:v>
      </x:c>
      <x:c r="T21" s="629" t="str">
        <x:v>Labor Cost</x:v>
      </x:c>
      <x:c r="U21" s="629" t="str">
        <x:v>Other Cost</x:v>
      </x:c>
      <x:c r="V21" s="632" t="str">
        <x:v>Extended Cost</x:v>
      </x:c>
      <x:c r="W21" s="610" t="str">
        <x:v>Source / Verification</x:v>
      </x:c>
      <x:c r="X21" s="610" t="str">
        <x:v>Internal Cost Code</x:v>
      </x:c>
      <x:c r="Y21" s="610" t="str">
        <x:v>Price Source / Vendor</x:v>
      </x:c>
      <x:c r="Z21" s="652" t="str">
        <x:v>Price Date</x:v>
      </x:c>
      <x:c r="AA21" s="610" t="str">
        <x:v>Region / Market</x:v>
      </x:c>
    </x:row>
    <x:row r="22">
      <x:c r="B22" s="612" t="n">
        <x:v>0</x:v>
      </x:c>
      <x:c r="C22" s="612"/>
      <x:c r="D22" s="612" t="str">
        <x:v>STRUCT.SHEAR_WALL.SW3</x:v>
      </x:c>
      <x:c r="E22" s="612" t="str">
        <x:v>Assembly</x:v>
      </x:c>
      <x:c r="F22" s="612" t="str">
        <x:v>SHEAR_WALL</x:v>
      </x:c>
      <x:c r="G22" s="612" t="str">
        <x:v>Shear Wall SW3</x:v>
      </x:c>
      <x:c r="H22" s="612" t="str">
        <x:v>Resist lateral shear and overturning along hosted wall</x:v>
      </x:c>
      <x:c r="I22" s="612" t="str">
        <x:v>Verified SDPWS/project assembly</x:v>
      </x:c>
      <x:c r="J22" s="612" t="str">
        <x:v>1 wall line</x:v>
      </x:c>
      <x:c r="K22" s="641" t="n">
        <x:v>1</x:v>
      </x:c>
      <x:c r="L22" s="641" t="str">
        <x:v>EA</x:v>
      </x:c>
      <x:c r="M22" s="642" t="n">
        <x:v>0</x:v>
      </x:c>
      <x:c r="N22" s="641" t="n">
        <x:f>IF(K22="","",K22*(1+IF(M22="",0,M22)))</x:f>
        <x:v>1</x:v>
      </x:c>
      <x:c r="O22" s="643"/>
      <x:c r="P22" s="643" t="str">
        <x:f>IF(OR(N22="",O22=""),"",N22*O22)</x:f>
      </x:c>
      <x:c r="Q22" s="643"/>
      <x:c r="R22" s="643" t="str">
        <x:f>IF(OR(N22="",Q22=""),"",N22*Q22)</x:f>
      </x:c>
      <x:c r="S22" s="643"/>
      <x:c r="T22" s="643" t="str">
        <x:f>IF(OR(R22="",S22=""),"",R22*S22)</x:f>
      </x:c>
      <x:c r="U22" s="643"/>
      <x:c r="V22" s="644" t="str">
        <x:f>IF(AND(P22="",T22="",U22=""),"",SUM(IF(P22="",0,P22),IF(T22="",0,T22),IF(U22="",0,U22)))</x:f>
      </x:c>
      <x:c r="W22" s="612" t="str">
        <x:v>SDPWS + project calc</x:v>
      </x:c>
      <x:c r="X22" s="641" t="str">
        <x:v>ASM.SHEAR_WALL</x:v>
      </x:c>
      <x:c r="Y22" s="641"/>
      <x:c r="Z22" s="650"/>
      <x:c r="AA22" s="641"/>
    </x:row>
    <x:row r="23">
      <x:c r="B23" s="612" t="n">
        <x:v>1</x:v>
      </x:c>
      <x:c r="C23" s="612" t="str">
        <x:v>STRUCT.SHEAR_WALL.SW3</x:v>
      </x:c>
      <x:c r="D23" s="612" t="str">
        <x:v>STRUCT.SW3.FRAMING</x:v>
      </x:c>
      <x:c r="E23" s="612" t="str">
        <x:v>Assembly</x:v>
      </x:c>
      <x:c r="F23" s="612" t="str">
        <x:v>WALL_FRAMING</x:v>
      </x:c>
      <x:c r="G23" s="612" t="str">
        <x:v>Wall framing</x:v>
      </x:c>
      <x:c r="H23" s="612" t="str">
        <x:v>Provide panel support, boundary and load transfer</x:v>
      </x:c>
      <x:c r="I23" s="612" t="str">
        <x:v>Stud/post/blocking system</x:v>
      </x:c>
      <x:c r="J23" s="612" t="str">
        <x:v>Geometry-driven</x:v>
      </x:c>
      <x:c r="K23" s="641" t="n">
        <x:v>1</x:v>
      </x:c>
      <x:c r="L23" s="641" t="str">
        <x:v>ASSEMBLY</x:v>
      </x:c>
      <x:c r="M23" s="642" t="n">
        <x:v>0</x:v>
      </x:c>
      <x:c r="N23" s="641" t="n">
        <x:f>IF(K23="","",K23*(1+IF(M23="",0,M23)))</x:f>
        <x:v>1</x:v>
      </x:c>
      <x:c r="O23" s="643"/>
      <x:c r="P23" s="643" t="str">
        <x:f>IF(OR(N23="",O23=""),"",N23*O23)</x:f>
      </x:c>
      <x:c r="Q23" s="643"/>
      <x:c r="R23" s="643" t="str">
        <x:f>IF(OR(N23="",Q23=""),"",N23*Q23)</x:f>
      </x:c>
      <x:c r="S23" s="643"/>
      <x:c r="T23" s="643" t="str">
        <x:f>IF(OR(R23="",S23=""),"",R23*S23)</x:f>
      </x:c>
      <x:c r="U23" s="643"/>
      <x:c r="V23" s="644" t="str">
        <x:f>IF(AND(P23="",T23="",U23=""),"",SUM(IF(P23="",0,P23),IF(T23="",0,T23),IF(U23="",0,U23)))</x:f>
      </x:c>
      <x:c r="W23" s="612" t="str">
        <x:v>NDS/project framing</x:v>
      </x:c>
      <x:c r="X23" s="641" t="str">
        <x:v>ASM.WALL_FRAMING</x:v>
      </x:c>
      <x:c r="Y23" s="641"/>
      <x:c r="Z23" s="650"/>
      <x:c r="AA23" s="641"/>
    </x:row>
    <x:row r="24">
      <x:c r="B24" s="612" t="n">
        <x:v>2</x:v>
      </x:c>
      <x:c r="C24" s="612" t="str">
        <x:v>STRUCT.SW3.FRAMING</x:v>
      </x:c>
      <x:c r="D24" s="612" t="str">
        <x:v>STRUCT.SW3.STUDS</x:v>
      </x:c>
      <x:c r="E24" s="612" t="str">
        <x:v>Material/Parts</x:v>
      </x:c>
      <x:c r="F24" s="612" t="str">
        <x:v>LUMBER</x:v>
      </x:c>
      <x:c r="G24" s="612" t="str">
        <x:v>Studs</x:v>
      </x:c>
      <x:c r="H24" s="612" t="str">
        <x:v>Support sheathing and gravity/load-path functions</x:v>
      </x:c>
      <x:c r="I24" s="612" t="str">
        <x:v>Species/grade/size from design</x:v>
      </x:c>
      <x:c r="J24" s="612" t="str">
        <x:v>Wall length / stud spacing + end conditions</x:v>
      </x:c>
      <x:c r="K24" s="641"/>
      <x:c r="L24" s="641" t="str">
        <x:v>EA</x:v>
      </x:c>
      <x:c r="M24" s="642" t="n">
        <x:v>0.05</x:v>
      </x:c>
      <x:c r="N24" s="641" t="str">
        <x:f>IF(K24="","",K24*(1+IF(M24="",0,M24)))</x:f>
      </x:c>
      <x:c r="O24" s="643"/>
      <x:c r="P24" s="643" t="str">
        <x:f>IF(OR(N24="",O24=""),"",N24*O24)</x:f>
      </x:c>
      <x:c r="Q24" s="643"/>
      <x:c r="R24" s="643" t="str">
        <x:f>IF(OR(N24="",Q24=""),"",N24*Q24)</x:f>
      </x:c>
      <x:c r="S24" s="643"/>
      <x:c r="T24" s="643" t="str">
        <x:f>IF(OR(R24="",S24=""),"",R24*S24)</x:f>
      </x:c>
      <x:c r="U24" s="643"/>
      <x:c r="V24" s="644" t="str">
        <x:f>IF(AND(P24="",T24="",U24=""),"",SUM(IF(P24="",0,P24),IF(T24="",0,T24),IF(U24="",0,U24)))</x:f>
      </x:c>
      <x:c r="W24" s="612" t="str">
        <x:v>Framing design</x:v>
      </x:c>
      <x:c r="X24" s="641" t="str">
        <x:v>MAT.LUMBER.STUD</x:v>
      </x:c>
      <x:c r="Y24" s="641"/>
      <x:c r="Z24" s="650"/>
      <x:c r="AA24" s="641"/>
    </x:row>
    <x:row r="25">
      <x:c r="B25" s="612" t="n">
        <x:v>2</x:v>
      </x:c>
      <x:c r="C25" s="612" t="str">
        <x:v>STRUCT.SW3.FRAMING</x:v>
      </x:c>
      <x:c r="D25" s="612" t="str">
        <x:v>STRUCT.SW3.BOUNDARY.POST.A</x:v>
      </x:c>
      <x:c r="E25" s="612" t="str">
        <x:v>Object/Part</x:v>
      </x:c>
      <x:c r="F25" s="612" t="str">
        <x:v>POST_COLUMN</x:v>
      </x:c>
      <x:c r="G25" s="612" t="str">
        <x:v>Boundary post A</x:v>
      </x:c>
      <x:c r="H25" s="612" t="str">
        <x:v>Develop overturning/chord forces</x:v>
      </x:c>
      <x:c r="I25" s="612" t="str">
        <x:v>Designed post/member</x:v>
      </x:c>
      <x:c r="J25" s="612" t="str">
        <x:v>1 per wall end</x:v>
      </x:c>
      <x:c r="K25" s="641" t="n">
        <x:v>1</x:v>
      </x:c>
      <x:c r="L25" s="641" t="str">
        <x:v>EA</x:v>
      </x:c>
      <x:c r="M25" s="642" t="n">
        <x:v>0</x:v>
      </x:c>
      <x:c r="N25" s="641" t="n">
        <x:f>IF(K25="","",K25*(1+IF(M25="",0,M25)))</x:f>
        <x:v>1</x:v>
      </x:c>
      <x:c r="O25" s="643"/>
      <x:c r="P25" s="643" t="str">
        <x:f>IF(OR(N25="",O25=""),"",N25*O25)</x:f>
      </x:c>
      <x:c r="Q25" s="643"/>
      <x:c r="R25" s="643" t="str">
        <x:f>IF(OR(N25="",Q25=""),"",N25*Q25)</x:f>
      </x:c>
      <x:c r="S25" s="643"/>
      <x:c r="T25" s="643" t="str">
        <x:f>IF(OR(R25="",S25=""),"",R25*S25)</x:f>
      </x:c>
      <x:c r="U25" s="643"/>
      <x:c r="V25" s="644" t="str">
        <x:f>IF(AND(P25="",T25="",U25=""),"",SUM(IF(P25="",0,P25),IF(T25="",0,T25),IF(U25="",0,U25)))</x:f>
      </x:c>
      <x:c r="W25" s="612" t="str">
        <x:v>NDS/project calc</x:v>
      </x:c>
      <x:c r="X25" s="641" t="str">
        <x:v>MAT.LUMBER.POST</x:v>
      </x:c>
      <x:c r="Y25" s="641"/>
      <x:c r="Z25" s="650"/>
      <x:c r="AA25" s="641"/>
    </x:row>
    <x:row r="26">
      <x:c r="B26" s="612" t="n">
        <x:v>2</x:v>
      </x:c>
      <x:c r="C26" s="612" t="str">
        <x:v>STRUCT.SW3.FRAMING</x:v>
      </x:c>
      <x:c r="D26" s="612" t="str">
        <x:v>STRUCT.SW3.BOUNDARY.POST.B</x:v>
      </x:c>
      <x:c r="E26" s="612" t="str">
        <x:v>Object/Part</x:v>
      </x:c>
      <x:c r="F26" s="612" t="str">
        <x:v>POST_COLUMN</x:v>
      </x:c>
      <x:c r="G26" s="612" t="str">
        <x:v>Boundary post B</x:v>
      </x:c>
      <x:c r="H26" s="612" t="str">
        <x:v>Develop overturning/chord forces</x:v>
      </x:c>
      <x:c r="I26" s="612" t="str">
        <x:v>Designed post/member</x:v>
      </x:c>
      <x:c r="J26" s="612" t="str">
        <x:v>1 per wall end</x:v>
      </x:c>
      <x:c r="K26" s="641" t="n">
        <x:v>1</x:v>
      </x:c>
      <x:c r="L26" s="641" t="str">
        <x:v>EA</x:v>
      </x:c>
      <x:c r="M26" s="642" t="n">
        <x:v>0</x:v>
      </x:c>
      <x:c r="N26" s="641" t="n">
        <x:f>IF(K26="","",K26*(1+IF(M26="",0,M26)))</x:f>
        <x:v>1</x:v>
      </x:c>
      <x:c r="O26" s="643"/>
      <x:c r="P26" s="643" t="str">
        <x:f>IF(OR(N26="",O26=""),"",N26*O26)</x:f>
      </x:c>
      <x:c r="Q26" s="643"/>
      <x:c r="R26" s="643" t="str">
        <x:f>IF(OR(N26="",Q26=""),"",N26*Q26)</x:f>
      </x:c>
      <x:c r="S26" s="643"/>
      <x:c r="T26" s="643" t="str">
        <x:f>IF(OR(R26="",S26=""),"",R26*S26)</x:f>
      </x:c>
      <x:c r="U26" s="643"/>
      <x:c r="V26" s="644" t="str">
        <x:f>IF(AND(P26="",T26="",U26=""),"",SUM(IF(P26="",0,P26),IF(T26="",0,T26),IF(U26="",0,U26)))</x:f>
      </x:c>
      <x:c r="W26" s="612" t="str">
        <x:v>NDS/project calc</x:v>
      </x:c>
      <x:c r="X26" s="641" t="str">
        <x:v>MAT.LUMBER.POST</x:v>
      </x:c>
      <x:c r="Y26" s="641"/>
      <x:c r="Z26" s="650"/>
      <x:c r="AA26" s="641"/>
    </x:row>
    <x:row r="27">
      <x:c r="B27" s="612" t="n">
        <x:v>2</x:v>
      </x:c>
      <x:c r="C27" s="612" t="str">
        <x:v>STRUCT.SW3.FRAMING</x:v>
      </x:c>
      <x:c r="D27" s="612" t="str">
        <x:v>STRUCT.SW3.BLOCKING</x:v>
      </x:c>
      <x:c r="E27" s="612" t="str">
        <x:v>Material/Parts</x:v>
      </x:c>
      <x:c r="F27" s="612" t="str">
        <x:v>BLOCKING</x:v>
      </x:c>
      <x:c r="G27" s="612" t="str">
        <x:v>Blocking</x:v>
      </x:c>
      <x:c r="H27" s="612" t="str">
        <x:v>Provide panel edge support and load transfer</x:v>
      </x:c>
      <x:c r="I27" s="612" t="str">
        <x:v>Wood blocking per assembly</x:v>
      </x:c>
      <x:c r="J27" s="612" t="str">
        <x:v>Geometry/edge-driven</x:v>
      </x:c>
      <x:c r="K27" s="641"/>
      <x:c r="L27" s="641" t="str">
        <x:v>LF</x:v>
      </x:c>
      <x:c r="M27" s="642" t="n">
        <x:v>0.05</x:v>
      </x:c>
      <x:c r="N27" s="641" t="str">
        <x:f>IF(K27="","",K27*(1+IF(M27="",0,M27)))</x:f>
      </x:c>
      <x:c r="O27" s="643"/>
      <x:c r="P27" s="643" t="str">
        <x:f>IF(OR(N27="",O27=""),"",N27*O27)</x:f>
      </x:c>
      <x:c r="Q27" s="643"/>
      <x:c r="R27" s="643" t="str">
        <x:f>IF(OR(N27="",Q27=""),"",N27*Q27)</x:f>
      </x:c>
      <x:c r="S27" s="643"/>
      <x:c r="T27" s="643" t="str">
        <x:f>IF(OR(R27="",S27=""),"",R27*S27)</x:f>
      </x:c>
      <x:c r="U27" s="643"/>
      <x:c r="V27" s="644" t="str">
        <x:f>IF(AND(P27="",T27="",U27=""),"",SUM(IF(P27="",0,P27),IF(T27="",0,T27),IF(U27="",0,U27)))</x:f>
      </x:c>
      <x:c r="W27" s="612" t="str">
        <x:v>SDPWS/detail</x:v>
      </x:c>
      <x:c r="X27" s="641" t="str">
        <x:v>MAT.LUMBER.BLOCKING</x:v>
      </x:c>
      <x:c r="Y27" s="641"/>
      <x:c r="Z27" s="650"/>
      <x:c r="AA27" s="641"/>
    </x:row>
    <x:row r="28">
      <x:c r="B28" s="612" t="n">
        <x:v>1</x:v>
      </x:c>
      <x:c r="C28" s="612" t="str">
        <x:v>STRUCT.SHEAR_WALL.SW3</x:v>
      </x:c>
      <x:c r="D28" s="612" t="str">
        <x:v>STRUCT.SW3.SHEATHING</x:v>
      </x:c>
      <x:c r="E28" s="612" t="str">
        <x:v>Material</x:v>
      </x:c>
      <x:c r="F28" s="612" t="str">
        <x:v>SHEATHING</x:v>
      </x:c>
      <x:c r="G28" s="612" t="str">
        <x:v>Structural sheathing</x:v>
      </x:c>
      <x:c r="H28" s="612" t="str">
        <x:v>Provide shear resistance</x:v>
      </x:c>
      <x:c r="I28" s="612" t="str">
        <x:v>Panel type/thickness/grade from verified assembly</x:v>
      </x:c>
      <x:c r="J28" s="612" t="str">
        <x:v>Wall gross/net sheathed area</x:v>
      </x:c>
      <x:c r="K28" s="641"/>
      <x:c r="L28" s="641" t="str">
        <x:v>SF</x:v>
      </x:c>
      <x:c r="M28" s="642" t="n">
        <x:v>0.1</x:v>
      </x:c>
      <x:c r="N28" s="641" t="str">
        <x:f>IF(K28="","",K28*(1+IF(M28="",0,M28)))</x:f>
      </x:c>
      <x:c r="O28" s="643"/>
      <x:c r="P28" s="643" t="str">
        <x:f>IF(OR(N28="",O28=""),"",N28*O28)</x:f>
      </x:c>
      <x:c r="Q28" s="643"/>
      <x:c r="R28" s="643" t="str">
        <x:f>IF(OR(N28="",Q28=""),"",N28*Q28)</x:f>
      </x:c>
      <x:c r="S28" s="643"/>
      <x:c r="T28" s="643" t="str">
        <x:f>IF(OR(R28="",S28=""),"",R28*S28)</x:f>
      </x:c>
      <x:c r="U28" s="643"/>
      <x:c r="V28" s="644" t="str">
        <x:f>IF(AND(P28="",T28="",U28=""),"",SUM(IF(P28="",0,P28),IF(T28="",0,T28),IF(U28="",0,U28)))</x:f>
      </x:c>
      <x:c r="W28" s="612" t="str">
        <x:v>SDPWS/source</x:v>
      </x:c>
      <x:c r="X28" s="641" t="str">
        <x:v>MAT.SHEATHING</x:v>
      </x:c>
      <x:c r="Y28" s="641"/>
      <x:c r="Z28" s="650"/>
      <x:c r="AA28" s="641"/>
    </x:row>
    <x:row r="29">
      <x:c r="B29" s="612" t="n">
        <x:v>1</x:v>
      </x:c>
      <x:c r="C29" s="612" t="str">
        <x:v>STRUCT.SHEAR_WALL.SW3</x:v>
      </x:c>
      <x:c r="D29" s="612" t="str">
        <x:v>STRUCT.SW3.NAILING</x:v>
      </x:c>
      <x:c r="E29" s="612" t="str">
        <x:v>Component</x:v>
      </x:c>
      <x:c r="F29" s="612" t="str">
        <x:v>FASTENER_GROUP</x:v>
      </x:c>
      <x:c r="G29" s="612" t="str">
        <x:v>Sheathing nailing</x:v>
      </x:c>
      <x:c r="H29" s="612" t="str">
        <x:v>Transfer panel shear into framing</x:v>
      </x:c>
      <x:c r="I29" s="612" t="str">
        <x:v>Nail type + edge/field spacing from assembly</x:v>
      </x:c>
      <x:c r="J29" s="612" t="str">
        <x:v>Perimeter + field spacing from geometry</x:v>
      </x:c>
      <x:c r="K29" s="641"/>
      <x:c r="L29" s="641" t="str">
        <x:v>EA</x:v>
      </x:c>
      <x:c r="M29" s="642" t="n">
        <x:v>0.05</x:v>
      </x:c>
      <x:c r="N29" s="641" t="str">
        <x:f>IF(K29="","",K29*(1+IF(M29="",0,M29)))</x:f>
      </x:c>
      <x:c r="O29" s="643"/>
      <x:c r="P29" s="643" t="str">
        <x:f>IF(OR(N29="",O29=""),"",N29*O29)</x:f>
      </x:c>
      <x:c r="Q29" s="643"/>
      <x:c r="R29" s="643" t="str">
        <x:f>IF(OR(N29="",Q29=""),"",N29*Q29)</x:f>
      </x:c>
      <x:c r="S29" s="643"/>
      <x:c r="T29" s="643" t="str">
        <x:f>IF(OR(R29="",S29=""),"",R29*S29)</x:f>
      </x:c>
      <x:c r="U29" s="643"/>
      <x:c r="V29" s="644" t="str">
        <x:f>IF(AND(P29="",T29="",U29=""),"",SUM(IF(P29="",0,P29),IF(T29="",0,T29),IF(U29="",0,U29)))</x:f>
      </x:c>
      <x:c r="W29" s="612" t="str">
        <x:v>SDPWS/source</x:v>
      </x:c>
      <x:c r="X29" s="641" t="str">
        <x:v>ASM.FASTENER_GROUP</x:v>
      </x:c>
      <x:c r="Y29" s="641"/>
      <x:c r="Z29" s="650"/>
      <x:c r="AA29" s="641"/>
    </x:row>
    <x:row r="30">
      <x:c r="B30" s="612" t="n">
        <x:v>2</x:v>
      </x:c>
      <x:c r="C30" s="612" t="str">
        <x:v>STRUCT.SW3.NAILING</x:v>
      </x:c>
      <x:c r="D30" s="612" t="str">
        <x:v>STRUCT.SW3.NAIL.TYPE</x:v>
      </x:c>
      <x:c r="E30" s="612" t="str">
        <x:v>Part</x:v>
      </x:c>
      <x:c r="F30" s="612" t="str">
        <x:v>NAIL</x:v>
      </x:c>
      <x:c r="G30" s="612" t="str">
        <x:v>Sheathing nails</x:v>
      </x:c>
      <x:c r="H30" s="612" t="str">
        <x:v>Discrete panel fasteners</x:v>
      </x:c>
      <x:c r="I30" s="612" t="str">
        <x:v>Verified nail diameter/length/type</x:v>
      </x:c>
      <x:c r="J30" s="612" t="str">
        <x:v>Derived count from spacing</x:v>
      </x:c>
      <x:c r="K30" s="641"/>
      <x:c r="L30" s="641" t="str">
        <x:v>EA</x:v>
      </x:c>
      <x:c r="M30" s="642" t="n">
        <x:v>0.05</x:v>
      </x:c>
      <x:c r="N30" s="641" t="str">
        <x:f>IF(K30="","",K30*(1+IF(M30="",0,M30)))</x:f>
      </x:c>
      <x:c r="O30" s="643"/>
      <x:c r="P30" s="643" t="str">
        <x:f>IF(OR(N30="",O30=""),"",N30*O30)</x:f>
      </x:c>
      <x:c r="Q30" s="643"/>
      <x:c r="R30" s="643" t="str">
        <x:f>IF(OR(N30="",Q30=""),"",N30*Q30)</x:f>
      </x:c>
      <x:c r="S30" s="643"/>
      <x:c r="T30" s="643" t="str">
        <x:f>IF(OR(R30="",S30=""),"",R30*S30)</x:f>
      </x:c>
      <x:c r="U30" s="643"/>
      <x:c r="V30" s="644" t="str">
        <x:f>IF(AND(P30="",T30="",U30=""),"",SUM(IF(P30="",0,P30),IF(T30="",0,T30),IF(U30="",0,U30)))</x:f>
      </x:c>
      <x:c r="W30" s="612" t="str">
        <x:v>SDPWS/source</x:v>
      </x:c>
      <x:c r="X30" s="641" t="str">
        <x:v>MAT.NAIL</x:v>
      </x:c>
      <x:c r="Y30" s="641"/>
      <x:c r="Z30" s="650"/>
      <x:c r="AA30" s="641"/>
    </x:row>
    <x:row r="31">
      <x:c r="B31" s="612" t="n">
        <x:v>1</x:v>
      </x:c>
      <x:c r="C31" s="612" t="str">
        <x:v>STRUCT.SHEAR_WALL.SW3</x:v>
      </x:c>
      <x:c r="D31" s="612" t="str">
        <x:v>STRUCT.SW3.HD.A</x:v>
      </x:c>
      <x:c r="E31" s="612" t="str">
        <x:v>Assembly/Product</x:v>
      </x:c>
      <x:c r="F31" s="612" t="str">
        <x:v>HOLDOWN_TENSION_TIE</x:v>
      </x:c>
      <x:c r="G31" s="612" t="str">
        <x:v>Holdown A</x:v>
      </x:c>
      <x:c r="H31" s="612" t="str">
        <x:v>Transfer end overturning tension to foundation</x:v>
      </x:c>
      <x:c r="I31" s="612" t="str">
        <x:v>Selected verified product</x:v>
      </x:c>
      <x:c r="J31" s="612" t="str">
        <x:v>1 at required end</x:v>
      </x:c>
      <x:c r="K31" s="641" t="n">
        <x:v>1</x:v>
      </x:c>
      <x:c r="L31" s="641" t="str">
        <x:v>EA</x:v>
      </x:c>
      <x:c r="M31" s="642" t="n">
        <x:v>0</x:v>
      </x:c>
      <x:c r="N31" s="641" t="n">
        <x:f>IF(K31="","",K31*(1+IF(M31="",0,M31)))</x:f>
        <x:v>1</x:v>
      </x:c>
      <x:c r="O31" s="643"/>
      <x:c r="P31" s="643" t="str">
        <x:f>IF(OR(N31="",O31=""),"",N31*O31)</x:f>
      </x:c>
      <x:c r="Q31" s="643"/>
      <x:c r="R31" s="643" t="str">
        <x:f>IF(OR(N31="",Q31=""),"",N31*Q31)</x:f>
      </x:c>
      <x:c r="S31" s="643"/>
      <x:c r="T31" s="643" t="str">
        <x:f>IF(OR(R31="",S31=""),"",R31*S31)</x:f>
      </x:c>
      <x:c r="U31" s="643"/>
      <x:c r="V31" s="644" t="str">
        <x:f>IF(AND(P31="",T31="",U31=""),"",SUM(IF(P31="",0,P31),IF(T31="",0,T31),IF(U31="",0,U31)))</x:f>
      </x:c>
      <x:c r="W31" s="612" t="str">
        <x:v>ESR/manufacturer + calc</x:v>
      </x:c>
      <x:c r="X31" s="641" t="str">
        <x:v>MAT.HOLDOWN</x:v>
      </x:c>
      <x:c r="Y31" s="641"/>
      <x:c r="Z31" s="650"/>
      <x:c r="AA31" s="641"/>
    </x:row>
    <x:row r="32">
      <x:c r="B32" s="612" t="n">
        <x:v>1</x:v>
      </x:c>
      <x:c r="C32" s="612" t="str">
        <x:v>STRUCT.SHEAR_WALL.SW3</x:v>
      </x:c>
      <x:c r="D32" s="612" t="str">
        <x:v>STRUCT.SW3.HD.B</x:v>
      </x:c>
      <x:c r="E32" s="612" t="str">
        <x:v>Assembly/Product</x:v>
      </x:c>
      <x:c r="F32" s="612" t="str">
        <x:v>HOLDOWN_TENSION_TIE</x:v>
      </x:c>
      <x:c r="G32" s="612" t="str">
        <x:v>Holdown B</x:v>
      </x:c>
      <x:c r="H32" s="612" t="str">
        <x:v>Transfer end overturning tension to foundation</x:v>
      </x:c>
      <x:c r="I32" s="612" t="str">
        <x:v>Selected verified product</x:v>
      </x:c>
      <x:c r="J32" s="612" t="str">
        <x:v>1 at required end</x:v>
      </x:c>
      <x:c r="K32" s="641" t="n">
        <x:v>1</x:v>
      </x:c>
      <x:c r="L32" s="641" t="str">
        <x:v>EA</x:v>
      </x:c>
      <x:c r="M32" s="642" t="n">
        <x:v>0</x:v>
      </x:c>
      <x:c r="N32" s="641" t="n">
        <x:f>IF(K32="","",K32*(1+IF(M32="",0,M32)))</x:f>
        <x:v>1</x:v>
      </x:c>
      <x:c r="O32" s="643"/>
      <x:c r="P32" s="643" t="str">
        <x:f>IF(OR(N32="",O32=""),"",N32*O32)</x:f>
      </x:c>
      <x:c r="Q32" s="643"/>
      <x:c r="R32" s="643" t="str">
        <x:f>IF(OR(N32="",Q32=""),"",N32*Q32)</x:f>
      </x:c>
      <x:c r="S32" s="643"/>
      <x:c r="T32" s="643" t="str">
        <x:f>IF(OR(R32="",S32=""),"",R32*S32)</x:f>
      </x:c>
      <x:c r="U32" s="643"/>
      <x:c r="V32" s="644" t="str">
        <x:f>IF(AND(P32="",T32="",U32=""),"",SUM(IF(P32="",0,P32),IF(T32="",0,T32),IF(U32="",0,U32)))</x:f>
      </x:c>
      <x:c r="W32" s="612" t="str">
        <x:v>ESR/manufacturer + calc</x:v>
      </x:c>
      <x:c r="X32" s="641" t="str">
        <x:v>MAT.HOLDOWN</x:v>
      </x:c>
      <x:c r="Y32" s="641"/>
      <x:c r="Z32" s="650"/>
      <x:c r="AA32" s="641"/>
    </x:row>
    <x:row r="33">
      <x:c r="B33" s="612" t="n">
        <x:v>2</x:v>
      </x:c>
      <x:c r="C33" s="612" t="str">
        <x:v>STRUCT.SW3.HD.A</x:v>
      </x:c>
      <x:c r="D33" s="612" t="str">
        <x:v>STRUCT.SW3.HD.A.SCREWS</x:v>
      </x:c>
      <x:c r="E33" s="612" t="str">
        <x:v>Parts</x:v>
      </x:c>
      <x:c r="F33" s="612" t="str">
        <x:v>SCREW</x:v>
      </x:c>
      <x:c r="G33" s="612" t="str">
        <x:v>Holdown fasteners A</x:v>
      </x:c>
      <x:c r="H33" s="612" t="str">
        <x:v>Attach holdown to boundary post</x:v>
      </x:c>
      <x:c r="I33" s="612" t="str">
        <x:v>Product-specific screws</x:v>
      </x:c>
      <x:c r="J33" s="612" t="str">
        <x:v>Published fastener schedule</x:v>
      </x:c>
      <x:c r="K33" s="641"/>
      <x:c r="L33" s="641" t="str">
        <x:v>EA</x:v>
      </x:c>
      <x:c r="M33" s="642" t="n">
        <x:v>0.02</x:v>
      </x:c>
      <x:c r="N33" s="641" t="str">
        <x:f>IF(K33="","",K33*(1+IF(M33="",0,M33)))</x:f>
      </x:c>
      <x:c r="O33" s="643"/>
      <x:c r="P33" s="643" t="str">
        <x:f>IF(OR(N33="",O33=""),"",N33*O33)</x:f>
      </x:c>
      <x:c r="Q33" s="643"/>
      <x:c r="R33" s="643" t="str">
        <x:f>IF(OR(N33="",Q33=""),"",N33*Q33)</x:f>
      </x:c>
      <x:c r="S33" s="643"/>
      <x:c r="T33" s="643" t="str">
        <x:f>IF(OR(R33="",S33=""),"",R33*S33)</x:f>
      </x:c>
      <x:c r="U33" s="643"/>
      <x:c r="V33" s="644" t="str">
        <x:f>IF(AND(P33="",T33="",U33=""),"",SUM(IF(P33="",0,P33),IF(T33="",0,T33),IF(U33="",0,U33)))</x:f>
      </x:c>
      <x:c r="W33" s="612" t="str">
        <x:v>Product report</x:v>
      </x:c>
      <x:c r="X33" s="641" t="str">
        <x:v>MAT.SCREW</x:v>
      </x:c>
      <x:c r="Y33" s="641"/>
      <x:c r="Z33" s="650"/>
      <x:c r="AA33" s="641"/>
    </x:row>
    <x:row r="34">
      <x:c r="B34" s="612" t="n">
        <x:v>2</x:v>
      </x:c>
      <x:c r="C34" s="612" t="str">
        <x:v>STRUCT.SW3.HD.B</x:v>
      </x:c>
      <x:c r="D34" s="612" t="str">
        <x:v>STRUCT.SW3.HD.B.SCREWS</x:v>
      </x:c>
      <x:c r="E34" s="612" t="str">
        <x:v>Parts</x:v>
      </x:c>
      <x:c r="F34" s="612" t="str">
        <x:v>SCREW</x:v>
      </x:c>
      <x:c r="G34" s="612" t="str">
        <x:v>Holdown fasteners B</x:v>
      </x:c>
      <x:c r="H34" s="612" t="str">
        <x:v>Attach holdown to boundary post</x:v>
      </x:c>
      <x:c r="I34" s="612" t="str">
        <x:v>Product-specific screws</x:v>
      </x:c>
      <x:c r="J34" s="612" t="str">
        <x:v>Published fastener schedule</x:v>
      </x:c>
      <x:c r="K34" s="641"/>
      <x:c r="L34" s="641" t="str">
        <x:v>EA</x:v>
      </x:c>
      <x:c r="M34" s="642" t="n">
        <x:v>0.02</x:v>
      </x:c>
      <x:c r="N34" s="641" t="str">
        <x:f>IF(K34="","",K34*(1+IF(M34="",0,M34)))</x:f>
      </x:c>
      <x:c r="O34" s="643"/>
      <x:c r="P34" s="643" t="str">
        <x:f>IF(OR(N34="",O34=""),"",N34*O34)</x:f>
      </x:c>
      <x:c r="Q34" s="643"/>
      <x:c r="R34" s="643" t="str">
        <x:f>IF(OR(N34="",Q34=""),"",N34*Q34)</x:f>
      </x:c>
      <x:c r="S34" s="643"/>
      <x:c r="T34" s="643" t="str">
        <x:f>IF(OR(R34="",S34=""),"",R34*S34)</x:f>
      </x:c>
      <x:c r="U34" s="643"/>
      <x:c r="V34" s="644" t="str">
        <x:f>IF(AND(P34="",T34="",U34=""),"",SUM(IF(P34="",0,P34),IF(T34="",0,T34),IF(U34="",0,U34)))</x:f>
      </x:c>
      <x:c r="W34" s="612" t="str">
        <x:v>Product report</x:v>
      </x:c>
      <x:c r="X34" s="641" t="str">
        <x:v>MAT.SCREW</x:v>
      </x:c>
      <x:c r="Y34" s="641"/>
      <x:c r="Z34" s="650"/>
      <x:c r="AA34" s="641"/>
    </x:row>
    <x:row r="35">
      <x:c r="B35" s="612" t="n">
        <x:v>2</x:v>
      </x:c>
      <x:c r="C35" s="612" t="str">
        <x:v>STRUCT.SW3.HD.A</x:v>
      </x:c>
      <x:c r="D35" s="612" t="str">
        <x:v>STRUCT.SW3.ANCHOR.A</x:v>
      </x:c>
      <x:c r="E35" s="612" t="str">
        <x:v>Assembly/Product</x:v>
      </x:c>
      <x:c r="F35" s="612" t="str">
        <x:v>ANCHOR</x:v>
      </x:c>
      <x:c r="G35" s="612" t="str">
        <x:v>Holdown anchor A</x:v>
      </x:c>
      <x:c r="H35" s="612" t="str">
        <x:v>Transfer holdown tension into foundation</x:v>
      </x:c>
      <x:c r="I35" s="612" t="str">
        <x:v>Verified anchor/rod system</x:v>
      </x:c>
      <x:c r="J35" s="612" t="str">
        <x:v>1 per holdown or project detail</x:v>
      </x:c>
      <x:c r="K35" s="641" t="n">
        <x:v>1</x:v>
      </x:c>
      <x:c r="L35" s="641" t="str">
        <x:v>EA</x:v>
      </x:c>
      <x:c r="M35" s="642" t="n">
        <x:v>0</x:v>
      </x:c>
      <x:c r="N35" s="641" t="n">
        <x:f>IF(K35="","",K35*(1+IF(M35="",0,M35)))</x:f>
        <x:v>1</x:v>
      </x:c>
      <x:c r="O35" s="643"/>
      <x:c r="P35" s="643" t="str">
        <x:f>IF(OR(N35="",O35=""),"",N35*O35)</x:f>
      </x:c>
      <x:c r="Q35" s="643"/>
      <x:c r="R35" s="643" t="str">
        <x:f>IF(OR(N35="",Q35=""),"",N35*Q35)</x:f>
      </x:c>
      <x:c r="S35" s="643"/>
      <x:c r="T35" s="643" t="str">
        <x:f>IF(OR(R35="",S35=""),"",R35*S35)</x:f>
      </x:c>
      <x:c r="U35" s="643"/>
      <x:c r="V35" s="644" t="str">
        <x:f>IF(AND(P35="",T35="",U35=""),"",SUM(IF(P35="",0,P35),IF(T35="",0,T35),IF(U35="",0,U35)))</x:f>
      </x:c>
      <x:c r="W35" s="612" t="str">
        <x:v>Anchor design / ESR</x:v>
      </x:c>
      <x:c r="X35" s="641" t="str">
        <x:v>MAT.ANCHOR</x:v>
      </x:c>
      <x:c r="Y35" s="641"/>
      <x:c r="Z35" s="650"/>
      <x:c r="AA35" s="641"/>
    </x:row>
    <x:row r="36">
      <x:c r="B36" s="612" t="n">
        <x:v>2</x:v>
      </x:c>
      <x:c r="C36" s="612" t="str">
        <x:v>STRUCT.SW3.HD.B</x:v>
      </x:c>
      <x:c r="D36" s="612" t="str">
        <x:v>STRUCT.SW3.ANCHOR.B</x:v>
      </x:c>
      <x:c r="E36" s="612" t="str">
        <x:v>Assembly/Product</x:v>
      </x:c>
      <x:c r="F36" s="612" t="str">
        <x:v>ANCHOR</x:v>
      </x:c>
      <x:c r="G36" s="612" t="str">
        <x:v>Holdown anchor B</x:v>
      </x:c>
      <x:c r="H36" s="612" t="str">
        <x:v>Transfer holdown tension into foundation</x:v>
      </x:c>
      <x:c r="I36" s="612" t="str">
        <x:v>Verified anchor/rod system</x:v>
      </x:c>
      <x:c r="J36" s="612" t="str">
        <x:v>1 per holdown or project detail</x:v>
      </x:c>
      <x:c r="K36" s="641" t="n">
        <x:v>1</x:v>
      </x:c>
      <x:c r="L36" s="641" t="str">
        <x:v>EA</x:v>
      </x:c>
      <x:c r="M36" s="642" t="n">
        <x:v>0</x:v>
      </x:c>
      <x:c r="N36" s="641" t="n">
        <x:f>IF(K36="","",K36*(1+IF(M36="",0,M36)))</x:f>
        <x:v>1</x:v>
      </x:c>
      <x:c r="O36" s="643"/>
      <x:c r="P36" s="643" t="str">
        <x:f>IF(OR(N36="",O36=""),"",N36*O36)</x:f>
      </x:c>
      <x:c r="Q36" s="643"/>
      <x:c r="R36" s="643" t="str">
        <x:f>IF(OR(N36="",Q36=""),"",N36*Q36)</x:f>
      </x:c>
      <x:c r="S36" s="643"/>
      <x:c r="T36" s="643" t="str">
        <x:f>IF(OR(R36="",S36=""),"",R36*S36)</x:f>
      </x:c>
      <x:c r="U36" s="643"/>
      <x:c r="V36" s="644" t="str">
        <x:f>IF(AND(P36="",T36="",U36=""),"",SUM(IF(P36="",0,P36),IF(T36="",0,T36),IF(U36="",0,U36)))</x:f>
      </x:c>
      <x:c r="W36" s="612" t="str">
        <x:v>Anchor design / ESR</x:v>
      </x:c>
      <x:c r="X36" s="641" t="str">
        <x:v>MAT.ANCHOR</x:v>
      </x:c>
      <x:c r="Y36" s="641"/>
      <x:c r="Z36" s="650"/>
      <x:c r="AA36" s="641"/>
    </x:row>
    <x:row r="37">
      <x:c r="B37" s="612" t="n">
        <x:v>1</x:v>
      </x:c>
      <x:c r="C37" s="612" t="str">
        <x:v>STRUCT.SHEAR_WALL.SW3</x:v>
      </x:c>
      <x:c r="D37" s="612" t="str">
        <x:v>STRUCT.SW3.SILL.ANCHORS</x:v>
      </x:c>
      <x:c r="E37" s="612" t="str">
        <x:v>Assembly</x:v>
      </x:c>
      <x:c r="F37" s="612" t="str">
        <x:v>ANCHOR_LINE</x:v>
      </x:c>
      <x:c r="G37" s="612" t="str">
        <x:v>Sill anchorage</x:v>
      </x:c>
      <x:c r="H37" s="612" t="str">
        <x:v>Transfer base shear into foundation</x:v>
      </x:c>
      <x:c r="I37" s="612" t="str">
        <x:v>Verified anchor type/spacing</x:v>
      </x:c>
      <x:c r="J37" s="612" t="str">
        <x:v>Wall length / required spacing</x:v>
      </x:c>
      <x:c r="K37" s="641"/>
      <x:c r="L37" s="641" t="str">
        <x:v>EA</x:v>
      </x:c>
      <x:c r="M37" s="642" t="n">
        <x:v>0.02</x:v>
      </x:c>
      <x:c r="N37" s="641" t="str">
        <x:f>IF(K37="","",K37*(1+IF(M37="",0,M37)))</x:f>
      </x:c>
      <x:c r="O37" s="643"/>
      <x:c r="P37" s="643" t="str">
        <x:f>IF(OR(N37="",O37=""),"",N37*O37)</x:f>
      </x:c>
      <x:c r="Q37" s="643"/>
      <x:c r="R37" s="643" t="str">
        <x:f>IF(OR(N37="",Q37=""),"",N37*Q37)</x:f>
      </x:c>
      <x:c r="S37" s="643"/>
      <x:c r="T37" s="643" t="str">
        <x:f>IF(OR(R37="",S37=""),"",R37*S37)</x:f>
      </x:c>
      <x:c r="U37" s="643"/>
      <x:c r="V37" s="644" t="str">
        <x:f>IF(AND(P37="",T37="",U37=""),"",SUM(IF(P37="",0,P37),IF(T37="",0,T37),IF(U37="",0,U37)))</x:f>
      </x:c>
      <x:c r="W37" s="612" t="str">
        <x:v>Anchor-line design</x:v>
      </x:c>
      <x:c r="X37" s="641" t="str">
        <x:v>ASM.ANCHOR_LINE</x:v>
      </x:c>
      <x:c r="Y37" s="641"/>
      <x:c r="Z37" s="650"/>
      <x:c r="AA37" s="641"/>
    </x:row>
    <x:row r="38">
      <x:c r="B38" s="612" t="n">
        <x:v>2</x:v>
      </x:c>
      <x:c r="C38" s="612" t="str">
        <x:v>STRUCT.SW3.SILL.ANCHORS</x:v>
      </x:c>
      <x:c r="D38" s="612" t="str">
        <x:v>STRUCT.SW3.SILL.NUTS</x:v>
      </x:c>
      <x:c r="E38" s="612" t="str">
        <x:v>Part</x:v>
      </x:c>
      <x:c r="F38" s="612" t="str">
        <x:v>NUT</x:v>
      </x:c>
      <x:c r="G38" s="612" t="str">
        <x:v>Anchor nuts</x:v>
      </x:c>
      <x:c r="H38" s="612" t="str">
        <x:v>Secure sill/washer system</x:v>
      </x:c>
      <x:c r="I38" s="612" t="str">
        <x:v>Compatible with anchor</x:v>
      </x:c>
      <x:c r="J38" s="612" t="str">
        <x:v>1 per anchor</x:v>
      </x:c>
      <x:c r="K38" s="641"/>
      <x:c r="L38" s="641" t="str">
        <x:v>EA</x:v>
      </x:c>
      <x:c r="M38" s="642" t="n">
        <x:v>0.02</x:v>
      </x:c>
      <x:c r="N38" s="641" t="str">
        <x:f>IF(K38="","",K38*(1+IF(M38="",0,M38)))</x:f>
      </x:c>
      <x:c r="O38" s="643"/>
      <x:c r="P38" s="643" t="str">
        <x:f>IF(OR(N38="",O38=""),"",N38*O38)</x:f>
      </x:c>
      <x:c r="Q38" s="643"/>
      <x:c r="R38" s="643" t="str">
        <x:f>IF(OR(N38="",Q38=""),"",N38*Q38)</x:f>
      </x:c>
      <x:c r="S38" s="643"/>
      <x:c r="T38" s="643" t="str">
        <x:f>IF(OR(R38="",S38=""),"",R38*S38)</x:f>
      </x:c>
      <x:c r="U38" s="643"/>
      <x:c r="V38" s="644" t="str">
        <x:f>IF(AND(P38="",T38="",U38=""),"",SUM(IF(P38="",0,P38),IF(T38="",0,T38),IF(U38="",0,U38)))</x:f>
      </x:c>
      <x:c r="W38" s="612" t="str">
        <x:v>Detail</x:v>
      </x:c>
      <x:c r="X38" s="641" t="str">
        <x:v>MAT.NUT</x:v>
      </x:c>
      <x:c r="Y38" s="641"/>
      <x:c r="Z38" s="650"/>
      <x:c r="AA38" s="641"/>
    </x:row>
    <x:row r="39">
      <x:c r="B39" s="612" t="n">
        <x:v>2</x:v>
      </x:c>
      <x:c r="C39" s="612" t="str">
        <x:v>STRUCT.SW3.SILL.ANCHORS</x:v>
      </x:c>
      <x:c r="D39" s="612" t="str">
        <x:v>STRUCT.SW3.SILL.WASHERS</x:v>
      </x:c>
      <x:c r="E39" s="612" t="str">
        <x:v>Part</x:v>
      </x:c>
      <x:c r="F39" s="612" t="str">
        <x:v>WASHER</x:v>
      </x:c>
      <x:c r="G39" s="612" t="str">
        <x:v>Sill plate washers</x:v>
      </x:c>
      <x:c r="H39" s="612" t="str">
        <x:v>Distribute anchor load / satisfy code/detail</x:v>
      </x:c>
      <x:c r="I39" s="612" t="str">
        <x:v>Plate washer/product as required</x:v>
      </x:c>
      <x:c r="J39" s="612" t="str">
        <x:v>1 per anchor</x:v>
      </x:c>
      <x:c r="K39" s="641"/>
      <x:c r="L39" s="641" t="str">
        <x:v>EA</x:v>
      </x:c>
      <x:c r="M39" s="642" t="n">
        <x:v>0.02</x:v>
      </x:c>
      <x:c r="N39" s="641" t="str">
        <x:f>IF(K39="","",K39*(1+IF(M39="",0,M39)))</x:f>
      </x:c>
      <x:c r="O39" s="643"/>
      <x:c r="P39" s="643" t="str">
        <x:f>IF(OR(N39="",O39=""),"",N39*O39)</x:f>
      </x:c>
      <x:c r="Q39" s="643"/>
      <x:c r="R39" s="643" t="str">
        <x:f>IF(OR(N39="",Q39=""),"",N39*Q39)</x:f>
      </x:c>
      <x:c r="S39" s="643"/>
      <x:c r="T39" s="643" t="str">
        <x:f>IF(OR(R39="",S39=""),"",R39*S39)</x:f>
      </x:c>
      <x:c r="U39" s="643"/>
      <x:c r="V39" s="644" t="str">
        <x:f>IF(AND(P39="",T39="",U39=""),"",SUM(IF(P39="",0,P39),IF(T39="",0,T39),IF(U39="",0,U39)))</x:f>
      </x:c>
      <x:c r="W39" s="612" t="str">
        <x:v>Detail/code</x:v>
      </x:c>
      <x:c r="X39" s="641" t="str">
        <x:v>MAT.WASHER</x:v>
      </x:c>
      <x:c r="Y39" s="641"/>
      <x:c r="Z39" s="650"/>
      <x:c r="AA39" s="641"/>
    </x:row>
    <x:row r="40">
      <x:c r="B40" s="140"/>
      <x:c r="C40" s="140"/>
      <x:c r="D40" s="140"/>
      <x:c r="E40" s="140"/>
      <x:c r="F40" s="140"/>
      <x:c r="G40" s="140"/>
      <x:c r="H40" s="140"/>
      <x:c r="I40" s="140"/>
      <x:c r="J40" s="140"/>
      <x:c r="K40" s="645"/>
      <x:c r="L40" s="645"/>
      <x:c r="M40" s="646"/>
      <x:c r="N40" s="645"/>
      <x:c r="O40" s="647"/>
      <x:c r="P40" s="647"/>
      <x:c r="Q40" s="647"/>
      <x:c r="R40" s="647"/>
      <x:c r="S40" s="647"/>
      <x:c r="T40" s="647"/>
      <x:c r="U40" s="647"/>
      <x:c r="V40" s="648"/>
      <x:c r="W40" s="140"/>
      <x:c r="Z40" s="651"/>
    </x:row>
    <x:row r="41">
      <x:c r="B41" s="140"/>
      <x:c r="C41" s="140"/>
      <x:c r="D41" s="140"/>
      <x:c r="E41" s="140"/>
      <x:c r="F41" s="140"/>
      <x:c r="G41" s="140"/>
      <x:c r="H41" s="140"/>
      <x:c r="I41" s="140"/>
      <x:c r="J41" s="140"/>
      <x:c r="K41" s="645"/>
      <x:c r="L41" s="645"/>
      <x:c r="M41" s="646"/>
      <x:c r="N41" s="645"/>
      <x:c r="O41" s="647"/>
      <x:c r="P41" s="647"/>
      <x:c r="Q41" s="647"/>
      <x:c r="R41" s="647"/>
      <x:c r="S41" s="647"/>
      <x:c r="T41" s="647"/>
      <x:c r="U41" s="647"/>
      <x:c r="V41" s="648"/>
      <x:c r="W41" s="140"/>
      <x:c r="Z41" s="651"/>
    </x:row>
    <x:row r="42">
      <x:c r="B42" s="604" t="str">
        <x:v>EXAMPLE C — STRUCT.FOOTING.F3 (FOUNDATION AS A COMPLETE WORKING ASSEMBLY)</x:v>
      </x:c>
      <x:c r="C42" s="604"/>
      <x:c r="D42" s="604"/>
      <x:c r="E42" s="604"/>
      <x:c r="F42" s="604"/>
      <x:c r="G42" s="604"/>
      <x:c r="H42" s="604"/>
      <x:c r="I42" s="604"/>
      <x:c r="J42" s="604"/>
      <x:c r="K42" s="623"/>
      <x:c r="L42" s="623"/>
      <x:c r="M42" s="624"/>
      <x:c r="N42" s="623"/>
      <x:c r="O42" s="628"/>
      <x:c r="P42" s="628"/>
      <x:c r="Q42" s="628"/>
      <x:c r="R42" s="628"/>
      <x:c r="S42" s="628"/>
      <x:c r="T42" s="628"/>
      <x:c r="U42" s="628"/>
      <x:c r="V42" s="631"/>
      <x:c r="W42" s="140"/>
      <x:c r="Z42" s="651"/>
    </x:row>
    <x:row r="43">
      <x:c r="B43" s="610" t="str">
        <x:v>Level</x:v>
      </x:c>
      <x:c r="C43" s="610" t="str">
        <x:v>Parent ID</x:v>
      </x:c>
      <x:c r="D43" s="610" t="str">
        <x:v>Item ID</x:v>
      </x:c>
      <x:c r="E43" s="610" t="str">
        <x:v>Class</x:v>
      </x:c>
      <x:c r="F43" s="610" t="str">
        <x:v>Type</x:v>
      </x:c>
      <x:c r="G43" s="610" t="str">
        <x:v>Human Description</x:v>
      </x:c>
      <x:c r="H43" s="610" t="str">
        <x:v>Function / Why Needed</x:v>
      </x:c>
      <x:c r="I43" s="610" t="str">
        <x:v>Material / Product Spec</x:v>
      </x:c>
      <x:c r="J43" s="610" t="str">
        <x:v>Qty Basis</x:v>
      </x:c>
      <x:c r="K43" s="625" t="str">
        <x:v>Base Qty</x:v>
      </x:c>
      <x:c r="L43" s="625" t="str">
        <x:v>Unit</x:v>
      </x:c>
      <x:c r="M43" s="626" t="str">
        <x:v>Waste %</x:v>
      </x:c>
      <x:c r="N43" s="625" t="str">
        <x:v>Cost Qty</x:v>
      </x:c>
      <x:c r="O43" s="629" t="str">
        <x:v>Unit Material Cost</x:v>
      </x:c>
      <x:c r="P43" s="629" t="str">
        <x:v>Material Cost</x:v>
      </x:c>
      <x:c r="Q43" s="629" t="str">
        <x:v>Labor Hrs / Unit</x:v>
      </x:c>
      <x:c r="R43" s="629" t="str">
        <x:v>Labor Hrs</x:v>
      </x:c>
      <x:c r="S43" s="629" t="str">
        <x:v>Labor Rate</x:v>
      </x:c>
      <x:c r="T43" s="629" t="str">
        <x:v>Labor Cost</x:v>
      </x:c>
      <x:c r="U43" s="629" t="str">
        <x:v>Other Cost</x:v>
      </x:c>
      <x:c r="V43" s="632" t="str">
        <x:v>Extended Cost</x:v>
      </x:c>
      <x:c r="W43" s="610" t="str">
        <x:v>Source / Verification</x:v>
      </x:c>
      <x:c r="X43" s="610" t="str">
        <x:v>Internal Cost Code</x:v>
      </x:c>
      <x:c r="Y43" s="610" t="str">
        <x:v>Price Source / Vendor</x:v>
      </x:c>
      <x:c r="Z43" s="652" t="str">
        <x:v>Price Date</x:v>
      </x:c>
      <x:c r="AA43" s="610" t="str">
        <x:v>Region / Market</x:v>
      </x:c>
    </x:row>
    <x:row r="44">
      <x:c r="B44" s="612" t="n">
        <x:v>0</x:v>
      </x:c>
      <x:c r="C44" s="612"/>
      <x:c r="D44" s="612" t="str">
        <x:v>STRUCT.FOOTING.F3</x:v>
      </x:c>
      <x:c r="E44" s="612" t="str">
        <x:v>Assembly</x:v>
      </x:c>
      <x:c r="F44" s="612" t="str">
        <x:v>FOOTING</x:v>
      </x:c>
      <x:c r="G44" s="612" t="str">
        <x:v>Footing F3</x:v>
      </x:c>
      <x:c r="H44" s="612" t="str">
        <x:v>Transfer supported structural load safely into soil</x:v>
      </x:c>
      <x:c r="I44" s="612" t="str">
        <x:v>Project-specific verified footing</x:v>
      </x:c>
      <x:c r="J44" s="612" t="str">
        <x:v>1 footing</x:v>
      </x:c>
      <x:c r="K44" s="641" t="n">
        <x:v>1</x:v>
      </x:c>
      <x:c r="L44" s="641" t="str">
        <x:v>EA</x:v>
      </x:c>
      <x:c r="M44" s="642" t="n">
        <x:v>0</x:v>
      </x:c>
      <x:c r="N44" s="641" t="n">
        <x:f>IF(K44="","",K44*(1+IF(M44="",0,M44)))</x:f>
        <x:v>1</x:v>
      </x:c>
      <x:c r="O44" s="643"/>
      <x:c r="P44" s="643" t="str">
        <x:f>IF(OR(N44="",O44=""),"",N44*O44)</x:f>
      </x:c>
      <x:c r="Q44" s="643"/>
      <x:c r="R44" s="643" t="str">
        <x:f>IF(OR(N44="",Q44=""),"",N44*Q44)</x:f>
      </x:c>
      <x:c r="S44" s="643"/>
      <x:c r="T44" s="643" t="str">
        <x:f>IF(OR(R44="",S44=""),"",R44*S44)</x:f>
      </x:c>
      <x:c r="U44" s="643"/>
      <x:c r="V44" s="644" t="str">
        <x:f>IF(AND(P44="",T44="",U44=""),"",SUM(IF(P44="",0,P44),IF(T44="",0,T44),IF(U44="",0,U44)))</x:f>
      </x:c>
      <x:c r="W44" s="612" t="str">
        <x:v>Foundation + concrete calc</x:v>
      </x:c>
      <x:c r="X44" s="641" t="str">
        <x:v>ASM.FOOTING</x:v>
      </x:c>
      <x:c r="Y44" s="641"/>
      <x:c r="Z44" s="650"/>
      <x:c r="AA44" s="641"/>
    </x:row>
    <x:row r="45">
      <x:c r="B45" s="612" t="n">
        <x:v>1</x:v>
      </x:c>
      <x:c r="C45" s="612" t="str">
        <x:v>STRUCT.FOOTING.F3</x:v>
      </x:c>
      <x:c r="D45" s="612" t="str">
        <x:v>MAT.F3.CONCRETE</x:v>
      </x:c>
      <x:c r="E45" s="612" t="str">
        <x:v>Material</x:v>
      </x:c>
      <x:c r="F45" s="612" t="str">
        <x:v>CONCRETE</x:v>
      </x:c>
      <x:c r="G45" s="612" t="str">
        <x:v>Concrete</x:v>
      </x:c>
      <x:c r="H45" s="612" t="str">
        <x:v>Provide footing body and compression/shear capacity</x:v>
      </x:c>
      <x:c r="I45" s="612" t="str">
        <x:v>f'c/exposure/project mix</x:v>
      </x:c>
      <x:c r="J45" s="612" t="str">
        <x:v>B × L × t</x:v>
      </x:c>
      <x:c r="K45" s="641"/>
      <x:c r="L45" s="641" t="str">
        <x:v>CY</x:v>
      </x:c>
      <x:c r="M45" s="642" t="n">
        <x:v>0.05</x:v>
      </x:c>
      <x:c r="N45" s="641" t="str">
        <x:f>IF(K45="","",K45*(1+IF(M45="",0,M45)))</x:f>
      </x:c>
      <x:c r="O45" s="643"/>
      <x:c r="P45" s="643" t="str">
        <x:f>IF(OR(N45="",O45=""),"",N45*O45)</x:f>
      </x:c>
      <x:c r="Q45" s="643"/>
      <x:c r="R45" s="643" t="str">
        <x:f>IF(OR(N45="",Q45=""),"",N45*Q45)</x:f>
      </x:c>
      <x:c r="S45" s="643"/>
      <x:c r="T45" s="643" t="str">
        <x:f>IF(OR(R45="",S45=""),"",R45*S45)</x:f>
      </x:c>
      <x:c r="U45" s="643"/>
      <x:c r="V45" s="644" t="str">
        <x:f>IF(AND(P45="",T45="",U45=""),"",SUM(IF(P45="",0,P45),IF(T45="",0,T45),IF(U45="",0,U45)))</x:f>
      </x:c>
      <x:c r="W45" s="612" t="str">
        <x:v>Concrete design/source</x:v>
      </x:c>
      <x:c r="X45" s="641" t="str">
        <x:v>MAT.CONCRETE</x:v>
      </x:c>
      <x:c r="Y45" s="641"/>
      <x:c r="Z45" s="650"/>
      <x:c r="AA45" s="641"/>
    </x:row>
    <x:row r="46">
      <x:c r="B46" s="612" t="n">
        <x:v>1</x:v>
      </x:c>
      <x:c r="C46" s="612" t="str">
        <x:v>STRUCT.FOOTING.F3</x:v>
      </x:c>
      <x:c r="D46" s="612" t="str">
        <x:v>MAT.F3.REBAR.X</x:v>
      </x:c>
      <x:c r="E46" s="612" t="str">
        <x:v>Material/Parts</x:v>
      </x:c>
      <x:c r="F46" s="612" t="str">
        <x:v>REINFORCING_BAR</x:v>
      </x:c>
      <x:c r="G46" s="612" t="str">
        <x:v>Rebar — X direction</x:v>
      </x:c>
      <x:c r="H46" s="612" t="str">
        <x:v>Provide required flexural/temperature reinforcement</x:v>
      </x:c>
      <x:c r="I46" s="612" t="str">
        <x:v>Bar size/grade/spacing from verified design</x:v>
      </x:c>
      <x:c r="J46" s="612" t="str">
        <x:v>Count × cut length</x:v>
      </x:c>
      <x:c r="K46" s="641"/>
      <x:c r="L46" s="641" t="str">
        <x:v>LF</x:v>
      </x:c>
      <x:c r="M46" s="642" t="n">
        <x:v>0.1</x:v>
      </x:c>
      <x:c r="N46" s="641" t="str">
        <x:f>IF(K46="","",K46*(1+IF(M46="",0,M46)))</x:f>
      </x:c>
      <x:c r="O46" s="643"/>
      <x:c r="P46" s="643" t="str">
        <x:f>IF(OR(N46="",O46=""),"",N46*O46)</x:f>
      </x:c>
      <x:c r="Q46" s="643"/>
      <x:c r="R46" s="643" t="str">
        <x:f>IF(OR(N46="",Q46=""),"",N46*Q46)</x:f>
      </x:c>
      <x:c r="S46" s="643"/>
      <x:c r="T46" s="643" t="str">
        <x:f>IF(OR(R46="",S46=""),"",R46*S46)</x:f>
      </x:c>
      <x:c r="U46" s="643"/>
      <x:c r="V46" s="644" t="str">
        <x:f>IF(AND(P46="",T46="",U46=""),"",SUM(IF(P46="",0,P46),IF(T46="",0,T46),IF(U46="",0,U46)))</x:f>
      </x:c>
      <x:c r="W46" s="612" t="str">
        <x:v>Concrete calc</x:v>
      </x:c>
      <x:c r="X46" s="641" t="str">
        <x:v>MAT.REBAR</x:v>
      </x:c>
      <x:c r="Y46" s="641"/>
      <x:c r="Z46" s="650"/>
      <x:c r="AA46" s="641"/>
    </x:row>
    <x:row r="47">
      <x:c r="B47" s="612" t="n">
        <x:v>1</x:v>
      </x:c>
      <x:c r="C47" s="612" t="str">
        <x:v>STRUCT.FOOTING.F3</x:v>
      </x:c>
      <x:c r="D47" s="612" t="str">
        <x:v>MAT.F3.REBAR.Y</x:v>
      </x:c>
      <x:c r="E47" s="612" t="str">
        <x:v>Material/Parts</x:v>
      </x:c>
      <x:c r="F47" s="612" t="str">
        <x:v>REINFORCING_BAR</x:v>
      </x:c>
      <x:c r="G47" s="612" t="str">
        <x:v>Rebar — Y direction</x:v>
      </x:c>
      <x:c r="H47" s="612" t="str">
        <x:v>Provide required flexural/temperature reinforcement</x:v>
      </x:c>
      <x:c r="I47" s="612" t="str">
        <x:v>Bar size/grade/spacing from verified design</x:v>
      </x:c>
      <x:c r="J47" s="612" t="str">
        <x:v>Count × cut length</x:v>
      </x:c>
      <x:c r="K47" s="641"/>
      <x:c r="L47" s="641" t="str">
        <x:v>LF</x:v>
      </x:c>
      <x:c r="M47" s="642" t="n">
        <x:v>0.1</x:v>
      </x:c>
      <x:c r="N47" s="641" t="str">
        <x:f>IF(K47="","",K47*(1+IF(M47="",0,M47)))</x:f>
      </x:c>
      <x:c r="O47" s="643"/>
      <x:c r="P47" s="643" t="str">
        <x:f>IF(OR(N47="",O47=""),"",N47*O47)</x:f>
      </x:c>
      <x:c r="Q47" s="643"/>
      <x:c r="R47" s="643" t="str">
        <x:f>IF(OR(N47="",Q47=""),"",N47*Q47)</x:f>
      </x:c>
      <x:c r="S47" s="643"/>
      <x:c r="T47" s="643" t="str">
        <x:f>IF(OR(R47="",S47=""),"",R47*S47)</x:f>
      </x:c>
      <x:c r="U47" s="643"/>
      <x:c r="V47" s="644" t="str">
        <x:f>IF(AND(P47="",T47="",U47=""),"",SUM(IF(P47="",0,P47),IF(T47="",0,T47),IF(U47="",0,U47)))</x:f>
      </x:c>
      <x:c r="W47" s="612" t="str">
        <x:v>Concrete calc</x:v>
      </x:c>
      <x:c r="X47" s="641" t="str">
        <x:v>MAT.REBAR</x:v>
      </x:c>
      <x:c r="Y47" s="641"/>
      <x:c r="Z47" s="650"/>
      <x:c r="AA47" s="641"/>
    </x:row>
    <x:row r="48">
      <x:c r="B48" s="612" t="n">
        <x:v>1</x:v>
      </x:c>
      <x:c r="C48" s="612" t="str">
        <x:v>STRUCT.FOOTING.F3</x:v>
      </x:c>
      <x:c r="D48" s="612" t="str">
        <x:v>STRUCT.F3.DOWELS</x:v>
      </x:c>
      <x:c r="E48" s="612" t="str">
        <x:v>Parts</x:v>
      </x:c>
      <x:c r="F48" s="612" t="str">
        <x:v>REINFORCING_BAR</x:v>
      </x:c>
      <x:c r="G48" s="612" t="str">
        <x:v>Post/wall dowels</x:v>
      </x:c>
      <x:c r="H48" s="612" t="str">
        <x:v>Transfer supported element forces as required</x:v>
      </x:c>
      <x:c r="I48" s="612" t="str">
        <x:v>Bar size/embedment from design</x:v>
      </x:c>
      <x:c r="J48" s="612" t="str">
        <x:v>Design quantity</x:v>
      </x:c>
      <x:c r="K48" s="641"/>
      <x:c r="L48" s="641" t="str">
        <x:v>EA</x:v>
      </x:c>
      <x:c r="M48" s="642" t="n">
        <x:v>0.05</x:v>
      </x:c>
      <x:c r="N48" s="641" t="str">
        <x:f>IF(K48="","",K48*(1+IF(M48="",0,M48)))</x:f>
      </x:c>
      <x:c r="O48" s="643"/>
      <x:c r="P48" s="643" t="str">
        <x:f>IF(OR(N48="",O48=""),"",N48*O48)</x:f>
      </x:c>
      <x:c r="Q48" s="643"/>
      <x:c r="R48" s="643" t="str">
        <x:f>IF(OR(N48="",Q48=""),"",N48*Q48)</x:f>
      </x:c>
      <x:c r="S48" s="643"/>
      <x:c r="T48" s="643" t="str">
        <x:f>IF(OR(R48="",S48=""),"",R48*S48)</x:f>
      </x:c>
      <x:c r="U48" s="643"/>
      <x:c r="V48" s="644" t="str">
        <x:f>IF(AND(P48="",T48="",U48=""),"",SUM(IF(P48="",0,P48),IF(T48="",0,T48),IF(U48="",0,U48)))</x:f>
      </x:c>
      <x:c r="W48" s="612" t="str">
        <x:v>Concrete/connection calc</x:v>
      </x:c>
      <x:c r="X48" s="641" t="str">
        <x:v>MAT.REBAR.DOWEL</x:v>
      </x:c>
      <x:c r="Y48" s="641"/>
      <x:c r="Z48" s="650"/>
      <x:c r="AA48" s="641"/>
    </x:row>
    <x:row r="49">
      <x:c r="B49" s="612" t="n">
        <x:v>1</x:v>
      </x:c>
      <x:c r="C49" s="612" t="str">
        <x:v>STRUCT.FOOTING.F3</x:v>
      </x:c>
      <x:c r="D49" s="612" t="str">
        <x:v>STRUCT.F3.ANCHOR</x:v>
      </x:c>
      <x:c r="E49" s="612" t="str">
        <x:v>Assembly/Product</x:v>
      </x:c>
      <x:c r="F49" s="612" t="str">
        <x:v>ANCHOR</x:v>
      </x:c>
      <x:c r="G49" s="612" t="str">
        <x:v>Anchor / rod system</x:v>
      </x:c>
      <x:c r="H49" s="612" t="str">
        <x:v>Transfer supported connection force into footing</x:v>
      </x:c>
      <x:c r="I49" s="612" t="str">
        <x:v>Verified anchor/rod system</x:v>
      </x:c>
      <x:c r="J49" s="612" t="str">
        <x:v>Project detail</x:v>
      </x:c>
      <x:c r="K49" s="641"/>
      <x:c r="L49" s="641" t="str">
        <x:v>EA</x:v>
      </x:c>
      <x:c r="M49" s="642" t="n">
        <x:v>0.02</x:v>
      </x:c>
      <x:c r="N49" s="641" t="str">
        <x:f>IF(K49="","",K49*(1+IF(M49="",0,M49)))</x:f>
      </x:c>
      <x:c r="O49" s="643"/>
      <x:c r="P49" s="643" t="str">
        <x:f>IF(OR(N49="",O49=""),"",N49*O49)</x:f>
      </x:c>
      <x:c r="Q49" s="643"/>
      <x:c r="R49" s="643" t="str">
        <x:f>IF(OR(N49="",Q49=""),"",N49*Q49)</x:f>
      </x:c>
      <x:c r="S49" s="643"/>
      <x:c r="T49" s="643" t="str">
        <x:f>IF(OR(R49="",S49=""),"",R49*S49)</x:f>
      </x:c>
      <x:c r="U49" s="643"/>
      <x:c r="V49" s="644" t="str">
        <x:f>IF(AND(P49="",T49="",U49=""),"",SUM(IF(P49="",0,P49),IF(T49="",0,T49),IF(U49="",0,U49)))</x:f>
      </x:c>
      <x:c r="W49" s="612" t="str">
        <x:v>Anchor design / ESR</x:v>
      </x:c>
      <x:c r="X49" s="641" t="str">
        <x:v>MAT.ANCHOR</x:v>
      </x:c>
      <x:c r="Y49" s="641"/>
      <x:c r="Z49" s="650"/>
      <x:c r="AA49" s="641"/>
    </x:row>
    <x:row r="50">
      <x:c r="B50" s="612" t="n">
        <x:v>2</x:v>
      </x:c>
      <x:c r="C50" s="612" t="str">
        <x:v>STRUCT.F3.ANCHOR</x:v>
      </x:c>
      <x:c r="D50" s="612" t="str">
        <x:v>STRUCT.F3.ANCHOR.NUT</x:v>
      </x:c>
      <x:c r="E50" s="612" t="str">
        <x:v>Part</x:v>
      </x:c>
      <x:c r="F50" s="612" t="str">
        <x:v>NUT</x:v>
      </x:c>
      <x:c r="G50" s="612" t="str">
        <x:v>Anchor nut</x:v>
      </x:c>
      <x:c r="H50" s="612" t="str">
        <x:v>Complete anchor assembly</x:v>
      </x:c>
      <x:c r="I50" s="612" t="str">
        <x:v>Compatible grade/thread</x:v>
      </x:c>
      <x:c r="J50" s="612" t="str">
        <x:v>1 per rod</x:v>
      </x:c>
      <x:c r="K50" s="641"/>
      <x:c r="L50" s="641" t="str">
        <x:v>EA</x:v>
      </x:c>
      <x:c r="M50" s="642" t="n">
        <x:v>0.02</x:v>
      </x:c>
      <x:c r="N50" s="641" t="str">
        <x:f>IF(K50="","",K50*(1+IF(M50="",0,M50)))</x:f>
      </x:c>
      <x:c r="O50" s="643"/>
      <x:c r="P50" s="643" t="str">
        <x:f>IF(OR(N50="",O50=""),"",N50*O50)</x:f>
      </x:c>
      <x:c r="Q50" s="643"/>
      <x:c r="R50" s="643" t="str">
        <x:f>IF(OR(N50="",Q50=""),"",N50*Q50)</x:f>
      </x:c>
      <x:c r="S50" s="643"/>
      <x:c r="T50" s="643" t="str">
        <x:f>IF(OR(R50="",S50=""),"",R50*S50)</x:f>
      </x:c>
      <x:c r="U50" s="643"/>
      <x:c r="V50" s="644" t="str">
        <x:f>IF(AND(P50="",T50="",U50=""),"",SUM(IF(P50="",0,P50),IF(T50="",0,T50),IF(U50="",0,U50)))</x:f>
      </x:c>
      <x:c r="W50" s="612" t="str">
        <x:v>Hardware detail</x:v>
      </x:c>
      <x:c r="X50" s="641" t="str">
        <x:v>MAT.NUT</x:v>
      </x:c>
      <x:c r="Y50" s="641"/>
      <x:c r="Z50" s="650"/>
      <x:c r="AA50" s="641"/>
    </x:row>
    <x:row r="51">
      <x:c r="B51" s="612" t="n">
        <x:v>2</x:v>
      </x:c>
      <x:c r="C51" s="612" t="str">
        <x:v>STRUCT.F3.ANCHOR</x:v>
      </x:c>
      <x:c r="D51" s="612" t="str">
        <x:v>STRUCT.F3.ANCHOR.WASHER</x:v>
      </x:c>
      <x:c r="E51" s="612" t="str">
        <x:v>Part</x:v>
      </x:c>
      <x:c r="F51" s="612" t="str">
        <x:v>WASHER</x:v>
      </x:c>
      <x:c r="G51" s="612" t="str">
        <x:v>Anchor washer/plate</x:v>
      </x:c>
      <x:c r="H51" s="612" t="str">
        <x:v>Distribute connection load</x:v>
      </x:c>
      <x:c r="I51" s="612" t="str">
        <x:v>Verified size/thickness</x:v>
      </x:c>
      <x:c r="J51" s="612" t="str">
        <x:v>1 per rod</x:v>
      </x:c>
      <x:c r="K51" s="641"/>
      <x:c r="L51" s="641" t="str">
        <x:v>EA</x:v>
      </x:c>
      <x:c r="M51" s="642" t="n">
        <x:v>0.02</x:v>
      </x:c>
      <x:c r="N51" s="641" t="str">
        <x:f>IF(K51="","",K51*(1+IF(M51="",0,M51)))</x:f>
      </x:c>
      <x:c r="O51" s="643"/>
      <x:c r="P51" s="643" t="str">
        <x:f>IF(OR(N51="",O51=""),"",N51*O51)</x:f>
      </x:c>
      <x:c r="Q51" s="643"/>
      <x:c r="R51" s="643" t="str">
        <x:f>IF(OR(N51="",Q51=""),"",N51*Q51)</x:f>
      </x:c>
      <x:c r="S51" s="643"/>
      <x:c r="T51" s="643" t="str">
        <x:f>IF(OR(R51="",S51=""),"",R51*S51)</x:f>
      </x:c>
      <x:c r="U51" s="643"/>
      <x:c r="V51" s="644" t="str">
        <x:f>IF(AND(P51="",T51="",U51=""),"",SUM(IF(P51="",0,P51),IF(T51="",0,T51),IF(U51="",0,U51)))</x:f>
      </x:c>
      <x:c r="W51" s="612" t="str">
        <x:v>Hardware detail</x:v>
      </x:c>
      <x:c r="X51" s="641" t="str">
        <x:v>MAT.WASHER</x:v>
      </x:c>
      <x:c r="Y51" s="641"/>
      <x:c r="Z51" s="650"/>
      <x:c r="AA51" s="641"/>
    </x:row>
    <x:row r="52">
      <x:c r="B52" s="140"/>
      <x:c r="C52" s="140"/>
      <x:c r="D52" s="140"/>
      <x:c r="E52" s="140"/>
      <x:c r="F52" s="140"/>
      <x:c r="G52" s="140"/>
      <x:c r="H52" s="140"/>
      <x:c r="I52" s="140"/>
      <x:c r="J52" s="140"/>
      <x:c r="K52" s="140"/>
      <x:c r="L52" s="140"/>
      <x:c r="M52" s="140"/>
      <x:c r="N52" s="140"/>
      <x:c r="O52" s="140"/>
      <x:c r="P52" s="140"/>
      <x:c r="Q52" s="140"/>
      <x:c r="R52" s="140"/>
      <x:c r="S52" s="140"/>
      <x:c r="T52" s="140"/>
      <x:c r="U52" s="140"/>
      <x:c r="V52" s="140"/>
      <x:c r="W52" s="140"/>
    </x:row>
    <x:row r="53">
      <x:c r="B53" s="140"/>
      <x:c r="C53" s="140"/>
      <x:c r="D53" s="140"/>
      <x:c r="E53" s="140"/>
      <x:c r="F53" s="140"/>
      <x:c r="G53" s="140"/>
      <x:c r="H53" s="140"/>
      <x:c r="I53" s="140"/>
      <x:c r="J53" s="140"/>
      <x:c r="K53" s="140"/>
      <x:c r="L53" s="140"/>
      <x:c r="M53" s="140"/>
      <x:c r="N53" s="140"/>
      <x:c r="O53" s="140"/>
      <x:c r="P53" s="140"/>
      <x:c r="Q53" s="140"/>
      <x:c r="R53" s="140"/>
      <x:c r="S53" s="140"/>
      <x:c r="T53" s="140"/>
      <x:c r="U53" s="140"/>
      <x:c r="V53" s="140"/>
      <x:c r="W53" s="140"/>
    </x:row>
    <x:row r="54">
      <x:c r="B54" s="140"/>
      <x:c r="C54" s="140"/>
      <x:c r="D54" s="140"/>
      <x:c r="E54" s="140"/>
      <x:c r="F54" s="140"/>
      <x:c r="G54" s="140"/>
      <x:c r="H54" s="140"/>
      <x:c r="I54" s="140"/>
      <x:c r="J54" s="140"/>
      <x:c r="K54" s="140"/>
      <x:c r="L54" s="140"/>
      <x:c r="M54" s="140"/>
      <x:c r="N54" s="140"/>
      <x:c r="O54" s="140"/>
      <x:c r="P54" s="140"/>
      <x:c r="Q54" s="140"/>
      <x:c r="R54" s="140"/>
      <x:c r="S54" s="140"/>
      <x:c r="T54" s="140"/>
      <x:c r="U54" s="140"/>
      <x:c r="V54" s="140"/>
      <x:c r="W54" s="140"/>
    </x:row>
    <x:row r="55">
      <x:c r="B55" s="604" t="str">
        <x:v>FUTURE COST ROLLUP LOGIC</x:v>
      </x:c>
      <x:c r="C55" s="604"/>
      <x:c r="D55" s="604"/>
      <x:c r="E55" s="604"/>
      <x:c r="F55" s="604"/>
      <x:c r="G55" s="604"/>
      <x:c r="H55" s="604"/>
      <x:c r="I55" s="140"/>
      <x:c r="J55" s="604" t="str">
        <x:v>COSTING RULES FOR THE FUTURE APP</x:v>
      </x:c>
      <x:c r="K55" s="604"/>
      <x:c r="L55" s="604"/>
      <x:c r="M55" s="604"/>
      <x:c r="N55" s="604"/>
      <x:c r="O55" s="604"/>
      <x:c r="P55" s="604"/>
      <x:c r="Q55" s="604"/>
      <x:c r="R55" s="604"/>
      <x:c r="S55" s="604"/>
      <x:c r="T55" s="604"/>
      <x:c r="U55" s="604"/>
      <x:c r="V55" s="604"/>
      <x:c r="W55" s="604"/>
    </x:row>
    <x:row r="56">
      <x:c r="B56" s="610" t="str">
        <x:v>Metric</x:v>
      </x:c>
      <x:c r="C56" s="610" t="str">
        <x:v>Formula / Concept</x:v>
      </x:c>
      <x:c r="D56" s="610" t="str">
        <x:v>Purpose</x:v>
      </x:c>
      <x:c r="E56" s="610"/>
      <x:c r="F56" s="610"/>
      <x:c r="G56" s="610"/>
      <x:c r="H56" s="610"/>
      <x:c r="I56" s="140"/>
      <x:c r="J56" s="601" t="str">
        <x:v>1) Geometry and verified component rules generate quantities; users should not manually count routine items. 2) Engineering/source verification remains in column W; price/vendor/date/region live separately in X:AA so cost data never becomes confused with design authority. 3) Unit prices, labor productivity and vendor quotes are separate source-controlled records with date/region. 4) Assemblies roll up child items without losing engineering object relationships. 5) A revision compares old and new BOMs to produce quantity/cost deltas. 6) Example quantities and blank price fields are not a project estimate.</x:v>
      </x:c>
      <x:c r="K56" s="601"/>
      <x:c r="L56" s="601"/>
      <x:c r="M56" s="601"/>
      <x:c r="N56" s="601"/>
      <x:c r="O56" s="601"/>
      <x:c r="P56" s="601"/>
      <x:c r="Q56" s="601"/>
      <x:c r="R56" s="601"/>
      <x:c r="S56" s="601"/>
      <x:c r="T56" s="601"/>
      <x:c r="U56" s="601"/>
      <x:c r="V56" s="601"/>
      <x:c r="W56" s="601"/>
    </x:row>
    <x:row r="57">
      <x:c r="B57" s="612" t="str">
        <x:v>Material Quantity</x:v>
      </x:c>
      <x:c r="C57" s="612" t="str">
        <x:v>Σ Cost Qty by canonical item/type/unit</x:v>
      </x:c>
      <x:c r="D57" s="612" t="str">
        <x:v>Project takeoff</x:v>
      </x:c>
      <x:c r="E57" s="612"/>
      <x:c r="F57" s="612"/>
      <x:c r="G57" s="612"/>
      <x:c r="H57" s="612"/>
      <x:c r="I57" s="140"/>
      <x:c r="J57" s="601"/>
      <x:c r="K57" s="601"/>
      <x:c r="L57" s="601"/>
      <x:c r="M57" s="601"/>
      <x:c r="N57" s="601"/>
      <x:c r="O57" s="601"/>
      <x:c r="P57" s="601"/>
      <x:c r="Q57" s="601"/>
      <x:c r="R57" s="601"/>
      <x:c r="S57" s="601"/>
      <x:c r="T57" s="601"/>
      <x:c r="U57" s="601"/>
      <x:c r="V57" s="601"/>
      <x:c r="W57" s="601"/>
    </x:row>
    <x:row r="58">
      <x:c r="B58" s="612" t="str">
        <x:v>Material Cost</x:v>
      </x:c>
      <x:c r="C58" s="612" t="str">
        <x:v>Σ Material Cost</x:v>
      </x:c>
      <x:c r="D58" s="612" t="str">
        <x:v>Vendor/price-source rollup</x:v>
      </x:c>
      <x:c r="E58" s="612"/>
      <x:c r="F58" s="612"/>
      <x:c r="G58" s="612"/>
      <x:c r="H58" s="612"/>
      <x:c r="I58" s="140"/>
      <x:c r="J58" s="601"/>
      <x:c r="K58" s="601"/>
      <x:c r="L58" s="601"/>
      <x:c r="M58" s="601"/>
      <x:c r="N58" s="601"/>
      <x:c r="O58" s="601"/>
      <x:c r="P58" s="601"/>
      <x:c r="Q58" s="601"/>
      <x:c r="R58" s="601"/>
      <x:c r="S58" s="601"/>
      <x:c r="T58" s="601"/>
      <x:c r="U58" s="601"/>
      <x:c r="V58" s="601"/>
      <x:c r="W58" s="601"/>
    </x:row>
    <x:row r="59">
      <x:c r="B59" s="612" t="str">
        <x:v>Labor Hours</x:v>
      </x:c>
      <x:c r="C59" s="612" t="str">
        <x:v>Σ Labor Hours</x:v>
      </x:c>
      <x:c r="D59" s="612" t="str">
        <x:v>Crew/productivity planning</x:v>
      </x:c>
      <x:c r="E59" s="612"/>
      <x:c r="F59" s="612"/>
      <x:c r="G59" s="612"/>
      <x:c r="H59" s="612"/>
      <x:c r="I59" s="140"/>
      <x:c r="J59" s="601"/>
      <x:c r="K59" s="601"/>
      <x:c r="L59" s="601"/>
      <x:c r="M59" s="601"/>
      <x:c r="N59" s="601"/>
      <x:c r="O59" s="601"/>
      <x:c r="P59" s="601"/>
      <x:c r="Q59" s="601"/>
      <x:c r="R59" s="601"/>
      <x:c r="S59" s="601"/>
      <x:c r="T59" s="601"/>
      <x:c r="U59" s="601"/>
      <x:c r="V59" s="601"/>
      <x:c r="W59" s="601"/>
    </x:row>
    <x:row r="60">
      <x:c r="B60" s="612" t="str">
        <x:v>Labor Cost</x:v>
      </x:c>
      <x:c r="C60" s="612" t="str">
        <x:v>Σ Labor Cost</x:v>
      </x:c>
      <x:c r="D60" s="612" t="str">
        <x:v>Estimate labor component</x:v>
      </x:c>
      <x:c r="E60" s="612"/>
      <x:c r="F60" s="612"/>
      <x:c r="G60" s="612"/>
      <x:c r="H60" s="612"/>
      <x:c r="I60" s="140"/>
      <x:c r="J60" s="601"/>
      <x:c r="K60" s="601"/>
      <x:c r="L60" s="601"/>
      <x:c r="M60" s="601"/>
      <x:c r="N60" s="601"/>
      <x:c r="O60" s="601"/>
      <x:c r="P60" s="601"/>
      <x:c r="Q60" s="601"/>
      <x:c r="R60" s="601"/>
      <x:c r="S60" s="601"/>
      <x:c r="T60" s="601"/>
      <x:c r="U60" s="601"/>
      <x:c r="V60" s="601"/>
      <x:c r="W60" s="601"/>
    </x:row>
    <x:row r="61">
      <x:c r="B61" s="612" t="str">
        <x:v>Other Cost</x:v>
      </x:c>
      <x:c r="C61" s="612" t="str">
        <x:v>Equipment + subcontract + allowance</x:v>
      </x:c>
      <x:c r="D61" s="612" t="str">
        <x:v>Non-material/labor cost</x:v>
      </x:c>
      <x:c r="E61" s="612"/>
      <x:c r="F61" s="612"/>
      <x:c r="G61" s="612"/>
      <x:c r="H61" s="612"/>
      <x:c r="I61" s="140"/>
      <x:c r="J61" s="601"/>
      <x:c r="K61" s="601"/>
      <x:c r="L61" s="601"/>
      <x:c r="M61" s="601"/>
      <x:c r="N61" s="601"/>
      <x:c r="O61" s="601"/>
      <x:c r="P61" s="601"/>
      <x:c r="Q61" s="601"/>
      <x:c r="R61" s="601"/>
      <x:c r="S61" s="601"/>
      <x:c r="T61" s="601"/>
      <x:c r="U61" s="601"/>
      <x:c r="V61" s="601"/>
      <x:c r="W61" s="601"/>
    </x:row>
    <x:row r="62">
      <x:c r="B62" s="612" t="str">
        <x:v>Assembly Cost</x:v>
      </x:c>
      <x:c r="C62" s="612" t="str">
        <x:v>Σ child Extended Cost</x:v>
      </x:c>
      <x:c r="D62" s="612" t="str">
        <x:v>Cost each working object</x:v>
      </x:c>
      <x:c r="E62" s="612"/>
      <x:c r="F62" s="612"/>
      <x:c r="G62" s="612"/>
      <x:c r="H62" s="612"/>
      <x:c r="I62" s="140"/>
      <x:c r="J62" s="601"/>
      <x:c r="K62" s="601"/>
      <x:c r="L62" s="601"/>
      <x:c r="M62" s="601"/>
      <x:c r="N62" s="601"/>
      <x:c r="O62" s="601"/>
      <x:c r="P62" s="601"/>
      <x:c r="Q62" s="601"/>
      <x:c r="R62" s="601"/>
      <x:c r="S62" s="601"/>
      <x:c r="T62" s="601"/>
      <x:c r="U62" s="601"/>
      <x:c r="V62" s="601"/>
      <x:c r="W62" s="601"/>
    </x:row>
    <x:row r="63">
      <x:c r="B63" s="140"/>
      <x:c r="C63" s="140"/>
      <x:c r="D63" s="140"/>
      <x:c r="E63" s="140"/>
      <x:c r="F63" s="140"/>
      <x:c r="G63" s="140"/>
      <x:c r="H63" s="140"/>
      <x:c r="I63" s="140"/>
      <x:c r="J63" s="140"/>
      <x:c r="K63" s="140"/>
      <x:c r="L63" s="140"/>
      <x:c r="M63" s="140"/>
      <x:c r="N63" s="140"/>
      <x:c r="O63" s="140"/>
      <x:c r="P63" s="140"/>
      <x:c r="Q63" s="140"/>
      <x:c r="R63" s="140"/>
      <x:c r="S63" s="140"/>
      <x:c r="T63" s="140"/>
      <x:c r="U63" s="140"/>
      <x:c r="V63" s="140"/>
      <x:c r="W63" s="140"/>
    </x:row>
    <x:row r="64">
      <x:c r="B64" s="140"/>
      <x:c r="C64" s="140"/>
      <x:c r="D64" s="140"/>
      <x:c r="E64" s="140"/>
      <x:c r="F64" s="140"/>
      <x:c r="G64" s="140"/>
      <x:c r="H64" s="140"/>
      <x:c r="I64" s="140"/>
      <x:c r="J64" s="140"/>
      <x:c r="K64" s="140"/>
      <x:c r="L64" s="140"/>
      <x:c r="M64" s="140"/>
      <x:c r="N64" s="140"/>
      <x:c r="O64" s="140"/>
      <x:c r="P64" s="140"/>
      <x:c r="Q64" s="140"/>
      <x:c r="R64" s="140"/>
      <x:c r="S64" s="140"/>
      <x:c r="T64" s="140"/>
      <x:c r="U64" s="140"/>
      <x:c r="V64" s="140"/>
      <x:c r="W64" s="140"/>
    </x:row>
  </x:sheetData>
  <x:mergeCells>
    <x:mergeCell ref="B55:H55"/>
    <x:mergeCell ref="B2:AA2"/>
    <x:mergeCell ref="B4:AA5"/>
    <x:mergeCell ref="B7:AA7"/>
    <x:mergeCell ref="B20:AA20"/>
    <x:mergeCell ref="B42:AA42"/>
    <x:mergeCell ref="J55:AA55"/>
    <x:mergeCell ref="J56:AA62"/>
  </x:mergeCells>
  <x:pageMargins left="0.7" right="0.7" top="0.75" bottom="0.75" header="0.3" footer="0.3"/>
</x:worksheet>
</file>